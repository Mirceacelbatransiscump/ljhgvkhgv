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pands.sharepoint.com/sites/MetalPartsandServices/Documenti non in library/LOGISTICA/"/>
    </mc:Choice>
  </mc:AlternateContent>
  <xr:revisionPtr revIDLastSave="5416" documentId="13_ncr:1_{7E1AD333-0216-40D4-8AB8-C9A79097FF51}" xr6:coauthVersionLast="47" xr6:coauthVersionMax="47" xr10:uidLastSave="{1A8CBBDB-DC11-4927-AA54-28DA6498CB49}"/>
  <bookViews>
    <workbookView xWindow="2820" yWindow="2256" windowWidth="16452" windowHeight="10104" firstSheet="10" activeTab="13" xr2:uid="{00000000-000D-0000-FFFF-FFFF00000000}"/>
  </bookViews>
  <sheets>
    <sheet name="NUT PO 512" sheetId="60" r:id="rId1"/>
    <sheet name="VOLVO FH 2018" sheetId="59" r:id="rId2"/>
    <sheet name="CLIP BLU" sheetId="58" r:id="rId3"/>
    <sheet name="FRONT INSERT" sheetId="57" r:id="rId4"/>
    <sheet name="REAR INSERT" sheetId="55" r:id="rId5"/>
    <sheet name="PIN TOYOTA LH" sheetId="53" r:id="rId6"/>
    <sheet name="PIN TOYOTA RX" sheetId="52" r:id="rId7"/>
    <sheet name="AH-020" sheetId="51" r:id="rId8"/>
    <sheet name="NUT PO512 V2" sheetId="49" r:id="rId9"/>
    <sheet name="CLIP BIANCO" sheetId="48" r:id="rId10"/>
    <sheet name="Data Assistance" sheetId="26" r:id="rId11"/>
    <sheet name="Foglio1" sheetId="46" r:id="rId12"/>
    <sheet name="Stampa" sheetId="23" r:id="rId13"/>
    <sheet name="Start" sheetId="30" r:id="rId14"/>
    <sheet name="Foglio2" sheetId="56" r:id="rId15"/>
    <sheet name="X290 RH " sheetId="34" r:id="rId16"/>
    <sheet name="X290 LH" sheetId="35" r:id="rId17"/>
    <sheet name="Treno 2" sheetId="33" r:id="rId18"/>
    <sheet name="tRENO" sheetId="32" r:id="rId19"/>
    <sheet name="VOLVO" sheetId="44" r:id="rId20"/>
    <sheet name="RENEGADE" sheetId="45" r:id="rId21"/>
    <sheet name="Loom" sheetId="41" r:id="rId22"/>
    <sheet name="Pezzo L" sheetId="36" r:id="rId23"/>
    <sheet name="fixation" sheetId="47" r:id="rId24"/>
  </sheets>
  <functionGroups builtInGroupCount="19"/>
  <definedNames>
    <definedName name="Area.stampa" localSheetId="12">Stampa!$A$1:$F$26</definedName>
    <definedName name="_xlnm.Print_Area" localSheetId="7">'AH-020'!$A$1:$F$12</definedName>
    <definedName name="_xlnm.Print_Area" localSheetId="9">'CLIP BIANCO'!$A$1:$F$12</definedName>
    <definedName name="_xlnm.Print_Area" localSheetId="2">'CLIP BLU'!$A$1:$F$12</definedName>
    <definedName name="_xlnm.Print_Area" localSheetId="23">fixation!$A$1:$F$12</definedName>
    <definedName name="_xlnm.Print_Area" localSheetId="3">'FRONT INSERT'!$A$1:$F$12</definedName>
    <definedName name="_xlnm.Print_Area" localSheetId="21">Loom!$A$1:$F$12</definedName>
    <definedName name="_xlnm.Print_Area" localSheetId="0">'NUT PO 512'!$A$1:$F$12</definedName>
    <definedName name="_xlnm.Print_Area" localSheetId="8">'NUT PO512 V2'!$A$1:$F$12</definedName>
    <definedName name="_xlnm.Print_Area" localSheetId="22">'Pezzo L'!$A$1:$F$12</definedName>
    <definedName name="_xlnm.Print_Area" localSheetId="5">'PIN TOYOTA LH'!$A$1:$F$12</definedName>
    <definedName name="_xlnm.Print_Area" localSheetId="6">'PIN TOYOTA RX'!$A$1:$F$12</definedName>
    <definedName name="_xlnm.Print_Area" localSheetId="4">'REAR INSERT'!$A$1:$F$12</definedName>
    <definedName name="_xlnm.Print_Area" localSheetId="20">RENEGADE!$A$1:$F$12</definedName>
    <definedName name="_xlnm.Print_Area" localSheetId="12">Stampa!$A$1:$F$26</definedName>
    <definedName name="_xlnm.Print_Area" localSheetId="18">tRENO!$A$1:$F$12</definedName>
    <definedName name="_xlnm.Print_Area" localSheetId="17">'Treno 2'!$A$1:$F$12</definedName>
    <definedName name="_xlnm.Print_Area" localSheetId="19">VOLVO!$A$1:$F$12</definedName>
    <definedName name="_xlnm.Print_Area" localSheetId="1">'VOLVO FH 2018'!$A$1:$F$12</definedName>
    <definedName name="_xlnm.Print_Area" localSheetId="16">'X290 LH'!$A$1:$F$26</definedName>
    <definedName name="_xlnm.Print_Area" localSheetId="15">'X290 RH '!$A$1:$F$26</definedName>
    <definedName name="Area_Stampa2" localSheetId="7">'AH-020'!$A$1:$F$12</definedName>
    <definedName name="Area_Stampa2" localSheetId="9">'CLIP BIANCO'!$A$1:$F$12</definedName>
    <definedName name="Area_Stampa2" localSheetId="2">'CLIP BLU'!$A$1:$F$12</definedName>
    <definedName name="Area_Stampa2" localSheetId="23">fixation!$A$1:$F$12</definedName>
    <definedName name="Area_Stampa2" localSheetId="3">'FRONT INSERT'!$A$1:$F$12</definedName>
    <definedName name="Area_Stampa2" localSheetId="21">Loom!$A$1:$F$12</definedName>
    <definedName name="Area_Stampa2" localSheetId="0">'NUT PO 512'!$A$1:$F$12</definedName>
    <definedName name="Area_Stampa2" localSheetId="8">'NUT PO512 V2'!$A$1:$F$12</definedName>
    <definedName name="Area_Stampa2" localSheetId="22">'Pezzo L'!$A$1:$F$12</definedName>
    <definedName name="Area_Stampa2" localSheetId="5">'PIN TOYOTA LH'!$A$1:$F$12</definedName>
    <definedName name="Area_Stampa2" localSheetId="6">'PIN TOYOTA RX'!$A$1:$F$12</definedName>
    <definedName name="Area_Stampa2" localSheetId="4">'REAR INSERT'!$A$1:$F$12</definedName>
    <definedName name="Area_Stampa2" localSheetId="20">RENEGADE!$A$1:$F$12</definedName>
    <definedName name="Area_Stampa2" localSheetId="12">Stampa!$A$1:$F$12</definedName>
    <definedName name="Area_Stampa2" localSheetId="18">tRENO!$A$1:$F$12</definedName>
    <definedName name="Area_Stampa2" localSheetId="17">'Treno 2'!$A$1:$F$12</definedName>
    <definedName name="Area_Stampa2" localSheetId="19">VOLVO!$A$1:$F$12</definedName>
    <definedName name="Area_Stampa2" localSheetId="1">'VOLVO FH 2018'!$A$1:$F$12</definedName>
    <definedName name="Area_Stampa2" localSheetId="16">'X290 LH'!$A$1:$F$12</definedName>
    <definedName name="Area_Stampa2" localSheetId="15">'X290 RH '!$A$1:$F$12</definedName>
    <definedName name="Area_Stampa3" localSheetId="7">'AH-020'!$A$1:$F$26</definedName>
    <definedName name="Area_Stampa3" localSheetId="9">'CLIP BIANCO'!$A$1:$F$26</definedName>
    <definedName name="Area_Stampa3" localSheetId="2">'CLIP BLU'!$A$1:$F$26</definedName>
    <definedName name="Area_Stampa3" localSheetId="23">fixation!$A$1:$F$26</definedName>
    <definedName name="Area_Stampa3" localSheetId="3">'FRONT INSERT'!$A$1:$F$26</definedName>
    <definedName name="Area_Stampa3" localSheetId="21">Loom!$A$1:$F$26</definedName>
    <definedName name="Area_Stampa3" localSheetId="0">'NUT PO 512'!$A$1:$F$26</definedName>
    <definedName name="Area_Stampa3" localSheetId="8">'NUT PO512 V2'!$A$1:$F$26</definedName>
    <definedName name="Area_Stampa3" localSheetId="22">'Pezzo L'!$A$1:$F$26</definedName>
    <definedName name="Area_Stampa3" localSheetId="5">'PIN TOYOTA LH'!$A$1:$F$26</definedName>
    <definedName name="Area_Stampa3" localSheetId="6">'PIN TOYOTA RX'!$A$1:$F$26</definedName>
    <definedName name="Area_Stampa3" localSheetId="4">'REAR INSERT'!$A$1:$F$26</definedName>
    <definedName name="Area_Stampa3" localSheetId="20">RENEGADE!$A$1:$F$26</definedName>
    <definedName name="Area_Stampa3" localSheetId="12">Stampa!$A$1:$F$26</definedName>
    <definedName name="Area_Stampa3" localSheetId="18">tRENO!$A$1:$F$26</definedName>
    <definedName name="Area_Stampa3" localSheetId="17">'Treno 2'!$A$1:$F$26</definedName>
    <definedName name="Area_Stampa3" localSheetId="19">VOLVO!$A$1:$F$26</definedName>
    <definedName name="Area_Stampa3" localSheetId="1">'VOLVO FH 2018'!$A$1:$F$26</definedName>
    <definedName name="Area_Stampa3" localSheetId="16">'X290 LH'!$A$1:$F$26</definedName>
    <definedName name="Area_Stampa3" localSheetId="15">'X290 RH '!$A$1:$F$26</definedName>
    <definedName name="Area_stampa4" localSheetId="7">'AH-020'!$A$1:$F$26</definedName>
    <definedName name="Area_stampa4" localSheetId="9">'CLIP BIANCO'!$A$1:$F$26</definedName>
    <definedName name="Area_stampa4" localSheetId="2">'CLIP BLU'!$A$1:$F$26</definedName>
    <definedName name="Area_stampa4" localSheetId="23">fixation!$A$1:$F$26</definedName>
    <definedName name="Area_stampa4" localSheetId="3">'FRONT INSERT'!$A$1:$F$26</definedName>
    <definedName name="Area_stampa4" localSheetId="21">Loom!$A$1:$F$26</definedName>
    <definedName name="Area_stampa4" localSheetId="0">'NUT PO 512'!$A$1:$F$26</definedName>
    <definedName name="Area_stampa4" localSheetId="8">'NUT PO512 V2'!$A$1:$F$26</definedName>
    <definedName name="Area_stampa4" localSheetId="22">'Pezzo L'!$A$1:$F$26</definedName>
    <definedName name="Area_stampa4" localSheetId="5">'PIN TOYOTA LH'!$A$1:$F$26</definedName>
    <definedName name="Area_stampa4" localSheetId="6">'PIN TOYOTA RX'!$A$1:$F$26</definedName>
    <definedName name="Area_stampa4" localSheetId="4">'REAR INSERT'!$A$1:$F$26</definedName>
    <definedName name="Area_stampa4" localSheetId="20">RENEGADE!$A$1:$F$26</definedName>
    <definedName name="Area_stampa4" localSheetId="12">Stampa!$A$1:$F$26</definedName>
    <definedName name="Area_stampa4" localSheetId="18">tRENO!$A$1:$F$26</definedName>
    <definedName name="Area_stampa4" localSheetId="17">'Treno 2'!$A$1:$F$26</definedName>
    <definedName name="Area_stampa4" localSheetId="19">VOLVO!$A$1:$F$26</definedName>
    <definedName name="Area_stampa4" localSheetId="1">'VOLVO FH 2018'!$A$1:$F$26</definedName>
    <definedName name="Area_stampa4" localSheetId="16">'X290 LH'!$A$1:$F$26</definedName>
    <definedName name="Area_stampa4" localSheetId="15">'X290 RH '!$A$1:$F$26</definedName>
    <definedName name="ARES_STAMPA" localSheetId="7">'AH-020'!$A$1:$F$26</definedName>
    <definedName name="ARES_STAMPA" localSheetId="9">'CLIP BIANCO'!$A$1:$F$26</definedName>
    <definedName name="ARES_STAMPA" localSheetId="2">'CLIP BLU'!$A$1:$F$26</definedName>
    <definedName name="ARES_STAMPA" localSheetId="23">fixation!$A$1:$F$26</definedName>
    <definedName name="ARES_STAMPA" localSheetId="3">'FRONT INSERT'!$A$1:$F$26</definedName>
    <definedName name="ARES_STAMPA" localSheetId="21">Loom!$A$1:$F$26</definedName>
    <definedName name="ARES_STAMPA" localSheetId="0">'NUT PO 512'!$A$1:$F$26</definedName>
    <definedName name="ARES_STAMPA" localSheetId="8">'NUT PO512 V2'!$A$1:$F$26</definedName>
    <definedName name="ARES_STAMPA" localSheetId="22">'Pezzo L'!$A$1:$F$26</definedName>
    <definedName name="ARES_STAMPA" localSheetId="5">'PIN TOYOTA LH'!$A$1:$F$26</definedName>
    <definedName name="ARES_STAMPA" localSheetId="6">'PIN TOYOTA RX'!$A$1:$F$26</definedName>
    <definedName name="ARES_STAMPA" localSheetId="4">'REAR INSERT'!$A$1:$F$26</definedName>
    <definedName name="ARES_STAMPA" localSheetId="20">RENEGADE!$A$1:$F$26</definedName>
    <definedName name="ARES_STAMPA" localSheetId="12">Stampa!$A$1:$F$26</definedName>
    <definedName name="ARES_STAMPA" localSheetId="18">tRENO!$A$1:$F$26</definedName>
    <definedName name="ARES_STAMPA" localSheetId="17">'Treno 2'!$A$1:$F$26</definedName>
    <definedName name="ARES_STAMPA" localSheetId="19">VOLVO!$A$1:$F$26</definedName>
    <definedName name="ARES_STAMPA" localSheetId="1">'VOLVO FH 2018'!$A$1:$F$26</definedName>
    <definedName name="ARES_STAMPA" localSheetId="16">'X290 LH'!$A$1:$F$26</definedName>
    <definedName name="ARES_STAMPA" localSheetId="15">'X290 RH '!$A$1:$F$26</definedName>
    <definedName name="paa" localSheetId="7">'AH-020'!$A$1:$F$12</definedName>
    <definedName name="paa" localSheetId="9">'CLIP BIANCO'!$A$1:$F$12</definedName>
    <definedName name="paa" localSheetId="2">'CLIP BLU'!$A$1:$F$12</definedName>
    <definedName name="paa" localSheetId="23">fixation!$A$1:$F$12</definedName>
    <definedName name="paa" localSheetId="3">'FRONT INSERT'!$A$1:$F$12</definedName>
    <definedName name="paa" localSheetId="21">Loom!$A$1:$F$12</definedName>
    <definedName name="paa" localSheetId="0">'NUT PO 512'!$A$1:$F$12</definedName>
    <definedName name="paa" localSheetId="8">'NUT PO512 V2'!$A$1:$F$12</definedName>
    <definedName name="paa" localSheetId="22">'Pezzo L'!$A$1:$F$12</definedName>
    <definedName name="paa" localSheetId="5">'PIN TOYOTA LH'!$A$1:$F$12</definedName>
    <definedName name="paa" localSheetId="6">'PIN TOYOTA RX'!$A$1:$F$12</definedName>
    <definedName name="paa" localSheetId="4">'REAR INSERT'!$A$1:$F$12</definedName>
    <definedName name="paa" localSheetId="20">RENEGADE!$A$1:$F$12</definedName>
    <definedName name="paa" localSheetId="12">Stampa!$A$1:$F$12</definedName>
    <definedName name="paa" localSheetId="18">tRENO!$A$1:$F$12</definedName>
    <definedName name="paa" localSheetId="17">'Treno 2'!$A$1:$F$12</definedName>
    <definedName name="paa" localSheetId="19">VOLVO!$A$1:$F$12</definedName>
    <definedName name="paa" localSheetId="1">'VOLVO FH 2018'!$A$1:$F$12</definedName>
    <definedName name="paa" localSheetId="16">'X290 LH'!$A$1:$F$12</definedName>
    <definedName name="paa" localSheetId="15">'X290 RH '!$A$1:$F$12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49" l="1" a="1"/>
  <c r="D23" i="49" a="1"/>
  <c r="B25" i="49" a="1"/>
  <c r="B19" i="49" a="1"/>
  <c r="B23" i="49" a="1"/>
  <c r="B21" i="49" a="1"/>
  <c r="B21" i="49" l="1"/>
  <c r="B23" i="49"/>
  <c r="B19" i="49"/>
  <c r="B25" i="49"/>
  <c r="D23" i="49"/>
  <c r="F23" i="49"/>
  <c r="B24" i="44" l="1"/>
  <c r="B10" i="44"/>
  <c r="L11" i="55"/>
  <c r="Q11" i="52"/>
  <c r="P11" i="52"/>
  <c r="O20" i="52"/>
  <c r="B7" i="58" a="1"/>
  <c r="B11" i="59" a="1"/>
  <c r="F9" i="57" a="1"/>
  <c r="B19" i="59" a="1"/>
  <c r="B21" i="60" a="1"/>
  <c r="F9" i="60" a="1"/>
  <c r="F23" i="60" a="1"/>
  <c r="F23" i="58" a="1"/>
  <c r="B23" i="59" a="1"/>
  <c r="B9" i="59" a="1"/>
  <c r="B21" i="59" a="1"/>
  <c r="B5" i="60" a="1"/>
  <c r="B19" i="60" a="1"/>
  <c r="D9" i="59" a="1"/>
  <c r="F23" i="59" a="1"/>
  <c r="F9" i="59" a="1"/>
  <c r="B5" i="58" a="1"/>
  <c r="D9" i="60" a="1"/>
  <c r="B23" i="58" a="1"/>
  <c r="B25" i="59" a="1"/>
  <c r="F23" i="55" a="1"/>
  <c r="B9" i="57" a="1"/>
  <c r="B25" i="58" a="1"/>
  <c r="F9" i="58" a="1"/>
  <c r="D23" i="58" a="1"/>
  <c r="B9" i="58" a="1"/>
  <c r="B25" i="57" a="1"/>
  <c r="D9" i="57" a="1"/>
  <c r="B9" i="60" a="1"/>
  <c r="B25" i="60" a="1"/>
  <c r="B23" i="57" a="1"/>
  <c r="B21" i="57" a="1"/>
  <c r="B5" i="59" a="1"/>
  <c r="B11" i="57" a="1"/>
  <c r="B19" i="57" a="1"/>
  <c r="B7" i="59" a="1"/>
  <c r="D23" i="57" a="1"/>
  <c r="F23" i="57" a="1"/>
  <c r="B11" i="60" a="1"/>
  <c r="B19" i="58" a="1"/>
  <c r="B7" i="57" a="1"/>
  <c r="B5" i="57" a="1"/>
  <c r="B11" i="58" a="1"/>
  <c r="D23" i="59" a="1"/>
  <c r="B21" i="58" a="1"/>
  <c r="D9" i="58" a="1"/>
  <c r="D23" i="60" a="1"/>
  <c r="B23" i="60" a="1"/>
  <c r="B7" i="60" a="1"/>
  <c r="B11" i="60" l="1"/>
  <c r="B9" i="60"/>
  <c r="B7" i="60"/>
  <c r="D9" i="60"/>
  <c r="B5" i="60"/>
  <c r="F9" i="60"/>
  <c r="B23" i="60"/>
  <c r="B21" i="60"/>
  <c r="D23" i="60"/>
  <c r="B25" i="60"/>
  <c r="B19" i="60"/>
  <c r="F23" i="60"/>
  <c r="D23" i="57"/>
  <c r="F23" i="57"/>
  <c r="F9" i="59"/>
  <c r="F23" i="59"/>
  <c r="B11" i="59"/>
  <c r="B25" i="59"/>
  <c r="B5" i="59"/>
  <c r="B19" i="59"/>
  <c r="B7" i="59"/>
  <c r="B21" i="59"/>
  <c r="B9" i="59"/>
  <c r="B23" i="59"/>
  <c r="D9" i="59"/>
  <c r="D23" i="59"/>
  <c r="B19" i="58"/>
  <c r="D23" i="58"/>
  <c r="B5" i="58"/>
  <c r="B21" i="58"/>
  <c r="B9" i="58"/>
  <c r="F23" i="58"/>
  <c r="B7" i="58"/>
  <c r="B23" i="58"/>
  <c r="B25" i="58"/>
  <c r="D9" i="58"/>
  <c r="F9" i="58"/>
  <c r="B11" i="58"/>
  <c r="B5" i="57"/>
  <c r="B21" i="57"/>
  <c r="F9" i="57"/>
  <c r="B23" i="57"/>
  <c r="B25" i="57"/>
  <c r="B11" i="57"/>
  <c r="B19" i="57"/>
  <c r="B7" i="57"/>
  <c r="B9" i="57"/>
  <c r="D9" i="57"/>
  <c r="F23" i="55"/>
  <c r="L14" i="56"/>
  <c r="L13" i="56"/>
  <c r="B24" i="45" l="1"/>
  <c r="B10" i="45"/>
  <c r="B26" i="41"/>
  <c r="F24" i="41"/>
  <c r="B12" i="41"/>
  <c r="F10" i="41"/>
  <c r="B19" i="47" a="1"/>
  <c r="B5" i="52" a="1"/>
  <c r="B7" i="47" a="1"/>
  <c r="B21" i="53" a="1"/>
  <c r="D23" i="55" a="1"/>
  <c r="B19" i="48" a="1"/>
  <c r="F9" i="49" a="1"/>
  <c r="D23" i="47" a="1"/>
  <c r="D23" i="53" a="1"/>
  <c r="F9" i="45" a="1"/>
  <c r="B21" i="36" a="1"/>
  <c r="F9" i="53" a="1"/>
  <c r="B7" i="35" a="1"/>
  <c r="B11" i="35" a="1"/>
  <c r="D23" i="36" a="1"/>
  <c r="B5" i="47" a="1"/>
  <c r="F23" i="35" a="1"/>
  <c r="D23" i="35" a="1"/>
  <c r="F23" i="44" a="1"/>
  <c r="B21" i="51" a="1"/>
  <c r="B7" i="45" a="1"/>
  <c r="B19" i="41" a="1"/>
  <c r="D23" i="41" a="1"/>
  <c r="B21" i="44" a="1"/>
  <c r="B11" i="47" a="1"/>
  <c r="D9" i="48" a="1"/>
  <c r="F9" i="35" a="1"/>
  <c r="B23" i="51" a="1"/>
  <c r="B7" i="44" a="1"/>
  <c r="B7" i="49" a="1"/>
  <c r="B5" i="48" a="1"/>
  <c r="B23" i="48" a="1"/>
  <c r="B11" i="53" a="1"/>
  <c r="B7" i="55" a="1"/>
  <c r="B25" i="35" a="1"/>
  <c r="B5" i="51" a="1"/>
  <c r="B25" i="53" a="1"/>
  <c r="B5" i="35" a="1"/>
  <c r="D9" i="53" a="1"/>
  <c r="B9" i="48" a="1"/>
  <c r="B23" i="52" a="1"/>
  <c r="B11" i="52" a="1"/>
  <c r="B19" i="55" a="1"/>
  <c r="B9" i="51" a="1"/>
  <c r="D9" i="47" a="1"/>
  <c r="B11" i="55" a="1"/>
  <c r="B9" i="35" a="1"/>
  <c r="F23" i="52" a="1"/>
  <c r="B11" i="48" a="1"/>
  <c r="B19" i="35" a="1"/>
  <c r="F9" i="47" a="1"/>
  <c r="D9" i="44" a="1"/>
  <c r="B7" i="36" a="1"/>
  <c r="F9" i="51" a="1"/>
  <c r="B25" i="36" a="1"/>
  <c r="B21" i="48" a="1"/>
  <c r="F9" i="55" a="1"/>
  <c r="B7" i="48" a="1"/>
  <c r="B9" i="55" a="1"/>
  <c r="F23" i="45" a="1"/>
  <c r="F23" i="53" a="1"/>
  <c r="D9" i="35" a="1"/>
  <c r="B5" i="44" a="1"/>
  <c r="B23" i="41" a="1"/>
  <c r="B11" i="51" a="1"/>
  <c r="B19" i="52" a="1"/>
  <c r="B23" i="44" a="1"/>
  <c r="B11" i="45" a="1"/>
  <c r="D23" i="51" a="1"/>
  <c r="B9" i="44" a="1"/>
  <c r="D23" i="52" a="1"/>
  <c r="B21" i="35" a="1"/>
  <c r="B11" i="44" a="1"/>
  <c r="B9" i="47" a="1"/>
  <c r="B7" i="52" a="1"/>
  <c r="B9" i="41" a="1"/>
  <c r="B21" i="34" a="1"/>
  <c r="B5" i="53" a="1"/>
  <c r="B25" i="55" a="1"/>
  <c r="D23" i="48" a="1"/>
  <c r="B9" i="45" a="1"/>
  <c r="B21" i="45" a="1"/>
  <c r="B21" i="47" a="1"/>
  <c r="B25" i="41" a="1"/>
  <c r="B9" i="53" a="1"/>
  <c r="B23" i="36" a="1"/>
  <c r="D9" i="36" a="1"/>
  <c r="B25" i="52" a="1"/>
  <c r="B19" i="44" a="1"/>
  <c r="F9" i="52" a="1"/>
  <c r="B5" i="36" a="1"/>
  <c r="F23" i="47" a="1"/>
  <c r="B7" i="53" a="1"/>
  <c r="B25" i="51" a="1"/>
  <c r="B19" i="36" a="1"/>
  <c r="B5" i="55" a="1"/>
  <c r="F9" i="36" a="1"/>
  <c r="F9" i="41" a="1"/>
  <c r="B23" i="55" a="1"/>
  <c r="B23" i="53" a="1"/>
  <c r="B23" i="47" a="1"/>
  <c r="B23" i="45" a="1"/>
  <c r="D9" i="41" a="1"/>
  <c r="B25" i="45" a="1"/>
  <c r="D9" i="55" a="1"/>
  <c r="B11" i="49" a="1"/>
  <c r="B5" i="41" a="1"/>
  <c r="F23" i="36" a="1"/>
  <c r="B21" i="55" a="1"/>
  <c r="B21" i="41" a="1"/>
  <c r="B7" i="51" a="1"/>
  <c r="B25" i="44" a="1"/>
  <c r="B21" i="52" a="1"/>
  <c r="D23" i="45" a="1"/>
  <c r="F23" i="41" a="1"/>
  <c r="D9" i="51" a="1"/>
  <c r="D9" i="45" a="1"/>
  <c r="B5" i="45" a="1"/>
  <c r="D9" i="52" a="1"/>
  <c r="F9" i="44" a="1"/>
  <c r="B9" i="52" a="1"/>
  <c r="B19" i="51" a="1"/>
  <c r="B11" i="36" a="1"/>
  <c r="D9" i="49" a="1"/>
  <c r="B9" i="36" a="1"/>
  <c r="B25" i="47" a="1"/>
  <c r="B19" i="45" a="1"/>
  <c r="B5" i="49" a="1"/>
  <c r="F23" i="51" a="1"/>
  <c r="B9" i="49" a="1"/>
  <c r="B11" i="41" a="1"/>
  <c r="D23" i="44" a="1"/>
  <c r="B23" i="35" a="1"/>
  <c r="B7" i="41" a="1"/>
  <c r="F23" i="48" a="1"/>
  <c r="B25" i="48" a="1"/>
  <c r="B19" i="53" a="1"/>
  <c r="F9" i="48" a="1"/>
  <c r="B23" i="23" a="1"/>
  <c r="F9" i="55" l="1"/>
  <c r="B11" i="55"/>
  <c r="B25" i="55"/>
  <c r="B5" i="55"/>
  <c r="B19" i="55"/>
  <c r="B7" i="55"/>
  <c r="B21" i="55"/>
  <c r="B9" i="55"/>
  <c r="B23" i="55"/>
  <c r="D9" i="55"/>
  <c r="D23" i="55"/>
  <c r="B5" i="53"/>
  <c r="B19" i="53"/>
  <c r="B21" i="53"/>
  <c r="B7" i="53"/>
  <c r="B23" i="53"/>
  <c r="B9" i="53"/>
  <c r="D23" i="53"/>
  <c r="D9" i="53"/>
  <c r="F23" i="53"/>
  <c r="F9" i="53"/>
  <c r="B25" i="53"/>
  <c r="B11" i="53"/>
  <c r="B19" i="52"/>
  <c r="B5" i="52"/>
  <c r="B7" i="52"/>
  <c r="B21" i="52"/>
  <c r="B9" i="52"/>
  <c r="B23" i="52"/>
  <c r="D23" i="52"/>
  <c r="F9" i="52"/>
  <c r="F23" i="52"/>
  <c r="D9" i="52"/>
  <c r="B11" i="52"/>
  <c r="B25" i="52"/>
  <c r="B5" i="51"/>
  <c r="B19" i="51"/>
  <c r="B11" i="51"/>
  <c r="B7" i="51"/>
  <c r="B21" i="51"/>
  <c r="B9" i="51"/>
  <c r="B23" i="51"/>
  <c r="D23" i="51"/>
  <c r="D9" i="51"/>
  <c r="F9" i="51"/>
  <c r="F23" i="51"/>
  <c r="B25" i="51"/>
  <c r="B5" i="49"/>
  <c r="B7" i="49"/>
  <c r="B9" i="49"/>
  <c r="D9" i="49"/>
  <c r="F9" i="49"/>
  <c r="B11" i="49"/>
  <c r="B19" i="48"/>
  <c r="D9" i="48"/>
  <c r="F9" i="48"/>
  <c r="B5" i="48"/>
  <c r="B7" i="48"/>
  <c r="B21" i="48"/>
  <c r="D23" i="48"/>
  <c r="F23" i="48"/>
  <c r="B25" i="48"/>
  <c r="B9" i="48"/>
  <c r="B23" i="48"/>
  <c r="B11" i="48"/>
  <c r="B19" i="47"/>
  <c r="B21" i="47"/>
  <c r="B7" i="47"/>
  <c r="B9" i="47"/>
  <c r="B23" i="47"/>
  <c r="B5" i="47"/>
  <c r="D9" i="47"/>
  <c r="D23" i="47"/>
  <c r="F23" i="47"/>
  <c r="B11" i="47"/>
  <c r="B25" i="47"/>
  <c r="F9" i="47"/>
  <c r="B21" i="45"/>
  <c r="D23" i="45"/>
  <c r="F23" i="45"/>
  <c r="B19" i="45"/>
  <c r="B25" i="45"/>
  <c r="B23" i="45"/>
  <c r="B5" i="45"/>
  <c r="B5" i="44"/>
  <c r="D9" i="45"/>
  <c r="F9" i="45"/>
  <c r="B7" i="45"/>
  <c r="B9" i="45"/>
  <c r="B11" i="45"/>
  <c r="B25" i="44"/>
  <c r="D23" i="44"/>
  <c r="B19" i="44"/>
  <c r="F23" i="44"/>
  <c r="B21" i="44"/>
  <c r="B23" i="44"/>
  <c r="B9" i="44"/>
  <c r="D9" i="44"/>
  <c r="F9" i="44"/>
  <c r="B7" i="44"/>
  <c r="B11" i="44"/>
  <c r="D23" i="41"/>
  <c r="B19" i="41"/>
  <c r="F23" i="41"/>
  <c r="B21" i="41"/>
  <c r="B25" i="41"/>
  <c r="B23" i="41"/>
  <c r="B5" i="41"/>
  <c r="B11" i="41"/>
  <c r="F9" i="41"/>
  <c r="B7" i="41"/>
  <c r="B9" i="41"/>
  <c r="D9" i="41"/>
  <c r="D23" i="36"/>
  <c r="B25" i="36"/>
  <c r="B5" i="36"/>
  <c r="B9" i="36"/>
  <c r="F9" i="36"/>
  <c r="B11" i="36"/>
  <c r="B21" i="36"/>
  <c r="B7" i="36"/>
  <c r="D9" i="36"/>
  <c r="B19" i="36"/>
  <c r="B23" i="36"/>
  <c r="F23" i="36"/>
  <c r="B23" i="23"/>
  <c r="B11" i="35"/>
  <c r="D23" i="35"/>
  <c r="B21" i="35"/>
  <c r="B5" i="35"/>
  <c r="F9" i="35"/>
  <c r="B23" i="35"/>
  <c r="B7" i="35"/>
  <c r="B9" i="35"/>
  <c r="B19" i="35"/>
  <c r="F23" i="35"/>
  <c r="D9" i="35"/>
  <c r="B25" i="35"/>
  <c r="B21" i="34"/>
  <c r="J23" i="33"/>
  <c r="K9" i="33"/>
  <c r="M9" i="33"/>
  <c r="B19" i="32" a="1"/>
  <c r="B21" i="32" a="1"/>
  <c r="F23" i="32" a="1"/>
  <c r="D23" i="33" a="1"/>
  <c r="B25" i="32" a="1"/>
  <c r="F9" i="32" a="1"/>
  <c r="B11" i="32" a="1"/>
  <c r="D9" i="33" a="1"/>
  <c r="D23" i="32" a="1"/>
  <c r="B5" i="33" a="1"/>
  <c r="B9" i="34" a="1"/>
  <c r="D23" i="34" a="1"/>
  <c r="B23" i="33" a="1"/>
  <c r="B19" i="34" a="1"/>
  <c r="B11" i="33" a="1"/>
  <c r="B5" i="34" a="1"/>
  <c r="B25" i="33" a="1"/>
  <c r="B7" i="32" a="1"/>
  <c r="B21" i="33" a="1"/>
  <c r="B7" i="34" a="1"/>
  <c r="B25" i="34" a="1"/>
  <c r="B5" i="32" a="1"/>
  <c r="B7" i="33" a="1"/>
  <c r="B11" i="34" a="1"/>
  <c r="F23" i="33" a="1"/>
  <c r="B23" i="34" a="1"/>
  <c r="F9" i="34" a="1"/>
  <c r="B19" i="33" a="1"/>
  <c r="B9" i="32" a="1"/>
  <c r="F9" i="33" a="1"/>
  <c r="B9" i="33" a="1"/>
  <c r="B23" i="32" a="1"/>
  <c r="D9" i="32" a="1"/>
  <c r="F23" i="34" a="1"/>
  <c r="D9" i="34" a="1"/>
  <c r="D23" i="23" a="1"/>
  <c r="B19" i="23" a="1"/>
  <c r="F23" i="23" a="1"/>
  <c r="B25" i="23" a="1"/>
  <c r="B21" i="23" a="1"/>
  <c r="D9" i="23" a="1"/>
  <c r="B5" i="23" a="1"/>
  <c r="F9" i="23" a="1"/>
  <c r="B11" i="23" a="1"/>
  <c r="B7" i="23" a="1"/>
  <c r="B9" i="23" a="1"/>
  <c r="B23" i="34" l="1"/>
  <c r="B11" i="34"/>
  <c r="D23" i="34"/>
  <c r="B7" i="34"/>
  <c r="B9" i="34"/>
  <c r="F23" i="34"/>
  <c r="D9" i="34"/>
  <c r="B25" i="34"/>
  <c r="B19" i="34"/>
  <c r="B5" i="34"/>
  <c r="F9" i="34"/>
  <c r="B5" i="33"/>
  <c r="B9" i="33"/>
  <c r="F9" i="33"/>
  <c r="B11" i="33"/>
  <c r="B21" i="33"/>
  <c r="D23" i="33"/>
  <c r="B25" i="33"/>
  <c r="B7" i="33"/>
  <c r="D9" i="33"/>
  <c r="B19" i="33"/>
  <c r="B23" i="33"/>
  <c r="F23" i="33"/>
  <c r="F23" i="32"/>
  <c r="B7" i="32"/>
  <c r="D9" i="32"/>
  <c r="B19" i="32"/>
  <c r="B11" i="32"/>
  <c r="B21" i="32"/>
  <c r="D23" i="32"/>
  <c r="B25" i="32"/>
  <c r="B23" i="32"/>
  <c r="B5" i="32"/>
  <c r="B9" i="32"/>
  <c r="F9" i="32"/>
  <c r="B19" i="23"/>
  <c r="F23" i="23"/>
  <c r="B25" i="23"/>
  <c r="B21" i="23"/>
  <c r="D23" i="23"/>
  <c r="B9" i="23"/>
  <c r="F9" i="23"/>
  <c r="B11" i="23"/>
  <c r="B5" i="23"/>
  <c r="B7" i="23"/>
  <c r="D9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<sst xmlns="http://schemas.openxmlformats.org/spreadsheetml/2006/main" count="787" uniqueCount="137">
  <si>
    <t>Project</t>
  </si>
  <si>
    <t>Drawing</t>
  </si>
  <si>
    <t>Net Weight</t>
  </si>
  <si>
    <t>Sap</t>
  </si>
  <si>
    <t>Desc</t>
  </si>
  <si>
    <t>A236 RH</t>
  </si>
  <si>
    <t>DRW 005231 REV.13</t>
  </si>
  <si>
    <t>MS A236 DIVISION BAR RH</t>
  </si>
  <si>
    <t>A236 LH</t>
  </si>
  <si>
    <t>MS A236 DIVISION BAR LH</t>
  </si>
  <si>
    <t>C118 RH</t>
  </si>
  <si>
    <t>DRW 003372 REV.11</t>
  </si>
  <si>
    <t>C118 DIVISION BAR RH</t>
  </si>
  <si>
    <t>C118 LH</t>
  </si>
  <si>
    <t>C118 DIVISION BAR LH</t>
  </si>
  <si>
    <t>X118 RH</t>
  </si>
  <si>
    <t>DRW 003640 REV.06</t>
  </si>
  <si>
    <t>X118 DIVISION BAR RH</t>
  </si>
  <si>
    <t>X118 LH</t>
  </si>
  <si>
    <t>X118 DIVISION BAR LH</t>
  </si>
  <si>
    <t>X294 RH</t>
  </si>
  <si>
    <t>A2947201701_1801 REV.F</t>
  </si>
  <si>
    <t>-</t>
  </si>
  <si>
    <t>X294 LH</t>
  </si>
  <si>
    <t>X296 RH</t>
  </si>
  <si>
    <t>A296-FDF-63981-DB REV.F</t>
  </si>
  <si>
    <t>X296 LH</t>
  </si>
  <si>
    <t>C174 Rear</t>
  </si>
  <si>
    <t>NO SAP</t>
  </si>
  <si>
    <t>Rear Metal Insert 174 / C178</t>
  </si>
  <si>
    <t>C174 Front</t>
  </si>
  <si>
    <t>Front Metal Insert 174 / C178</t>
  </si>
  <si>
    <t>AGC Automotive Czech a.s.</t>
  </si>
  <si>
    <t>Osada 33 Chuderice</t>
  </si>
  <si>
    <t>Strada del Francese 87/19</t>
  </si>
  <si>
    <t>Bilina 41801</t>
  </si>
  <si>
    <t>Torino 10156</t>
  </si>
  <si>
    <t>Czech Republic</t>
  </si>
  <si>
    <t>Part Description :</t>
  </si>
  <si>
    <t>Drawing and Rev:</t>
  </si>
  <si>
    <t>Batch Number:</t>
  </si>
  <si>
    <t>Box                           Quantity:</t>
  </si>
  <si>
    <t>Net Weight:</t>
  </si>
  <si>
    <t>SAP Number:</t>
  </si>
  <si>
    <t>Signature:</t>
  </si>
  <si>
    <t>Packaging Date:</t>
  </si>
  <si>
    <t>,</t>
  </si>
  <si>
    <t>X290 RDF DIV BAR ALU RH</t>
  </si>
  <si>
    <t>DRW AD005865_11</t>
  </si>
  <si>
    <t>11,1 Kg</t>
  </si>
  <si>
    <t>X290 RDF DIV BAR ALU LH</t>
  </si>
  <si>
    <t>SPLIFAR S.A.</t>
  </si>
  <si>
    <t>Avenue du Marquis, 10</t>
  </si>
  <si>
    <t>B-6220 FLEURUS</t>
  </si>
  <si>
    <t>BELGIUM</t>
  </si>
  <si>
    <t>PLAQUE COMMANDE ECLAIRAGE CABINE</t>
  </si>
  <si>
    <t>DRW ADD0003141508</t>
  </si>
  <si>
    <t>1  Kg</t>
  </si>
  <si>
    <t>Paiu</t>
  </si>
  <si>
    <t>PLAQUE PRISE</t>
  </si>
  <si>
    <t>DRW ADD0003141745</t>
  </si>
  <si>
    <t>1.6 Kg</t>
  </si>
  <si>
    <t>PLAQUE PUPITRE 1</t>
  </si>
  <si>
    <t>DRW ADD0003146837</t>
  </si>
  <si>
    <t>22  Kg</t>
  </si>
  <si>
    <t>PLAQUE PUPITRE 3</t>
  </si>
  <si>
    <t>DRW ADD0003142353</t>
  </si>
  <si>
    <t>19 Kg</t>
  </si>
  <si>
    <t>EN ACIER S355</t>
  </si>
  <si>
    <t xml:space="preserve">X03DTEC00032 </t>
  </si>
  <si>
    <t>11 Kg</t>
  </si>
  <si>
    <t>DB-FFX416-LH-00-R0 REV.P</t>
  </si>
  <si>
    <t>DIVISION BAR FFX RH PORSCHE MACAN</t>
  </si>
  <si>
    <t>DIVISION BAR FFX LH PORSCHE MACAN</t>
  </si>
  <si>
    <t>MACAN RH NO AVZ</t>
  </si>
  <si>
    <t>MACAN LH NO AVZ</t>
  </si>
  <si>
    <t>MACAN RH AVZ</t>
  </si>
  <si>
    <t>MACAN LH AVZ</t>
  </si>
  <si>
    <t>DB-FFX416-LH-00-R0 REV.Q</t>
  </si>
  <si>
    <t xml:space="preserve">X296-FDF RH ALUM DIV BAR </t>
  </si>
  <si>
    <t xml:space="preserve">X296-FDF LH ALUM DIV BAR </t>
  </si>
  <si>
    <t>X294-FDF RH ALUM DIV BAR</t>
  </si>
  <si>
    <t>X294-FDF LH ALUM DIV BAR</t>
  </si>
  <si>
    <t>23-11-SP-1047-A</t>
  </si>
  <si>
    <t>K0 WS LOOM BRACKET 24</t>
  </si>
  <si>
    <t>MONO BRACKET PB V620D</t>
  </si>
  <si>
    <t>5  Kg</t>
  </si>
  <si>
    <t>4,.5  Kg</t>
  </si>
  <si>
    <t>4,5  Kg</t>
  </si>
  <si>
    <t>COVER BRACKET JEEP RENEGADE 14</t>
  </si>
  <si>
    <t>DRW 1240708</t>
  </si>
  <si>
    <t>DRW 004706 R06</t>
  </si>
  <si>
    <t>DRW 007020 REV.11</t>
  </si>
  <si>
    <t>DRW 006816 REV.12</t>
  </si>
  <si>
    <t>LH244701</t>
  </si>
  <si>
    <t>FIXATION CONNECTEURS  DEFROST</t>
  </si>
  <si>
    <t>YX3033</t>
  </si>
  <si>
    <t>D. PAIU</t>
  </si>
  <si>
    <t>CLIP PO 512  BIANCO</t>
  </si>
  <si>
    <t>18-4-SP-1025-B</t>
  </si>
  <si>
    <t>Weight 
( Kg )</t>
  </si>
  <si>
    <t>05_2025</t>
  </si>
  <si>
    <t>22-06-SP-1042</t>
  </si>
  <si>
    <t>NUT PO512 V2</t>
  </si>
  <si>
    <t>DRW005963_02</t>
  </si>
  <si>
    <t>05/25</t>
  </si>
  <si>
    <t>TERMINAL</t>
  </si>
  <si>
    <t>AH-020</t>
  </si>
  <si>
    <t>Maurizio Z.</t>
  </si>
  <si>
    <t>0425_2982515</t>
  </si>
  <si>
    <t>PIN  TOYOTA RH</t>
  </si>
  <si>
    <t>DRW005964_02</t>
  </si>
  <si>
    <t>AGC OPTOMOTIV ADAPAZARI</t>
  </si>
  <si>
    <r>
      <rPr>
        <b/>
        <sz val="18"/>
        <color theme="1"/>
        <rFont val="Aptos Narrow"/>
        <family val="2"/>
      </rPr>
      <t>Űretim San.ve Tic A.Ş</t>
    </r>
    <r>
      <rPr>
        <b/>
        <sz val="12.6"/>
        <color theme="1"/>
        <rFont val="Aptos Narrow"/>
        <family val="2"/>
      </rPr>
      <t>.</t>
    </r>
  </si>
  <si>
    <t>PO Box 54102</t>
  </si>
  <si>
    <t>54100 ADAPAZARI / SAKARYA</t>
  </si>
  <si>
    <t>PIN  TOYOTA LH</t>
  </si>
  <si>
    <t>IBRAM</t>
  </si>
  <si>
    <t>rh</t>
  </si>
  <si>
    <t>lh</t>
  </si>
  <si>
    <t>DA DISSOSIDARE IN SITAL</t>
  </si>
  <si>
    <t>In sital</t>
  </si>
  <si>
    <t>Totale</t>
  </si>
  <si>
    <t>12_25</t>
  </si>
  <si>
    <t>SECONDARY  FIXATION REAR</t>
  </si>
  <si>
    <t>DRW 006816.14</t>
  </si>
  <si>
    <t>SECONDARY  FIXATION FRONT</t>
  </si>
  <si>
    <t>DRW 007020.13</t>
  </si>
  <si>
    <t>21-1-SP-1030</t>
  </si>
  <si>
    <t>CLIP PO512 BLU</t>
  </si>
  <si>
    <t>06_2025</t>
  </si>
  <si>
    <t xml:space="preserve">BRACKET VOLVO FH 2018 </t>
  </si>
  <si>
    <t>19-4-SP-1028-A</t>
  </si>
  <si>
    <t>9 kg</t>
  </si>
  <si>
    <t>NUT PO 512</t>
  </si>
  <si>
    <t>18-4-SP-1024-C</t>
  </si>
  <si>
    <t>RH244701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</si>
</sst>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48"/>
      <color theme="1"/>
      <name val="Calibri"/>
      <family val="2"/>
      <scheme val="minor"/>
    </font>
    <font>
      <sz val="72"/>
      <color theme="1"/>
      <name val="code128"/>
    </font>
    <font>
      <sz val="8"/>
      <name val="Calibri"/>
      <family val="2"/>
      <scheme val="minor"/>
    </font>
    <font>
      <sz val="48"/>
      <color theme="1"/>
      <name val="code128"/>
    </font>
    <font>
      <u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ode 128"/>
    </font>
    <font>
      <b/>
      <sz val="14"/>
      <color theme="1"/>
      <name val="Calibri"/>
      <family val="2"/>
      <scheme val="minor"/>
    </font>
    <font>
      <b/>
      <sz val="18"/>
      <color theme="1"/>
      <name val="Aptos Narrow"/>
      <family val="2"/>
    </font>
    <font>
      <b/>
      <sz val="12.6"/>
      <color theme="1"/>
      <name val="Aptos Narrow"/>
      <family val="2"/>
    </font>
    <font>
      <sz val="48"/>
      <color theme="1"/>
      <name val="Calibri Light"/>
      <scheme val="major"/>
    </font>
    <font>
      <sz val="18"/>
      <color theme="1"/>
      <name val="Calibri Light"/>
      <scheme val="maj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2" xfId="0" applyBorder="1"/>
    <xf numFmtId="0" fontId="3" fillId="0" borderId="0" xfId="0" applyFont="1"/>
    <xf numFmtId="0" fontId="0" fillId="0" borderId="15" xfId="0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8" fillId="0" borderId="14" xfId="0" applyFont="1" applyBorder="1" applyAlignment="1">
      <alignment horizontal="center" vertical="center" shrinkToFit="1"/>
    </xf>
    <xf numFmtId="0" fontId="8" fillId="0" borderId="7" xfId="0" applyFont="1" applyBorder="1" applyAlignment="1">
      <alignment horizontal="center" vertical="center" shrinkToFit="1"/>
    </xf>
    <xf numFmtId="0" fontId="9" fillId="0" borderId="0" xfId="0" applyFont="1"/>
    <xf numFmtId="0" fontId="11" fillId="0" borderId="0" xfId="0" applyFont="1"/>
    <xf numFmtId="49" fontId="4" fillId="0" borderId="15" xfId="0" applyNumberFormat="1" applyFon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7" fontId="4" fillId="0" borderId="15" xfId="0" applyNumberFormat="1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0" xfId="0" applyFont="1"/>
    <xf numFmtId="17" fontId="16" fillId="0" borderId="15" xfId="0" applyNumberFormat="1" applyFont="1" applyBorder="1" applyAlignment="1">
      <alignment horizontal="center" vertical="center"/>
    </xf>
    <xf numFmtId="49" fontId="10" fillId="0" borderId="9" xfId="0" applyNumberFormat="1" applyFont="1" applyBorder="1" applyAlignment="1">
      <alignment horizontal="center" vertical="center"/>
    </xf>
    <xf numFmtId="49" fontId="10" fillId="0" borderId="10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7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838472</xdr:colOff>
      <xdr:row>2</xdr:row>
      <xdr:rowOff>87903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8CC0695A-B1AC-469C-8C9B-721241043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852079</xdr:colOff>
      <xdr:row>16</xdr:row>
      <xdr:rowOff>101512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44133E9-CE07-4532-B7B3-E2261AEB9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AA72BF31-A66D-491F-A3D9-B7FCFF921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A03E5E4D-5507-4196-9266-42939753C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29A6A859-0129-4ADF-8712-7389DD5DE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2D611959-70D8-4842-B8D5-CDC8CCF9E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E9CE6565-D185-470B-A473-842CDC0AE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6300"/>
                  </a14:imgEffect>
                  <a14:imgEffect>
                    <a14:saturation sat="0"/>
                  </a14:imgEffect>
                  <a14:imgEffect>
                    <a14:brightnessContrast bright="3000" contrast="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B178B3D-9AC3-4172-AC56-9FE6C1408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5C7262B4-7D3E-41E2-8831-1BD9E87E3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6300"/>
                  </a14:imgEffect>
                  <a14:imgEffect>
                    <a14:saturation sat="0"/>
                  </a14:imgEffect>
                  <a14:imgEffect>
                    <a14:brightnessContrast bright="3000" contrast="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CC90E70A-212E-4D0D-97E5-DAFCE8DB5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612321</xdr:colOff>
      <xdr:row>0</xdr:row>
      <xdr:rowOff>13608</xdr:rowOff>
    </xdr:from>
    <xdr:to>
      <xdr:col>1</xdr:col>
      <xdr:colOff>807810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344A04EC-6814-4AC8-8F0B-CE429D8B8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colorTemperature colorTemp="6300"/>
                  </a14:imgEffect>
                  <a14:imgEffect>
                    <a14:saturation sat="0"/>
                  </a14:imgEffect>
                  <a14:imgEffect>
                    <a14:brightnessContrast bright="1000" contrast="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3608"/>
          <a:ext cx="1344839" cy="6381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366F560-58C9-468E-9F63-31DF0C1E1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612321</xdr:colOff>
      <xdr:row>0</xdr:row>
      <xdr:rowOff>13608</xdr:rowOff>
    </xdr:from>
    <xdr:to>
      <xdr:col>1</xdr:col>
      <xdr:colOff>807810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ED513FB-EF13-4FCE-9D48-40F14AFBE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colorTemperature colorTemp="6300"/>
                  </a14:imgEffect>
                  <a14:imgEffect>
                    <a14:saturation sat="0"/>
                  </a14:imgEffect>
                  <a14:imgEffect>
                    <a14:brightnessContrast bright="1000" contrast="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3608"/>
          <a:ext cx="1343025" cy="63817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700A90FD-9901-45AE-B0E8-6A4159789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00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A04C9F7-E50A-42A9-AF7B-257A3252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6300"/>
                  </a14:imgEffect>
                  <a14:imgEffect>
                    <a14:saturation sat="0"/>
                  </a14:imgEffect>
                  <a14:imgEffect>
                    <a14:brightnessContrast bright="3000" contrast="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51A87942-550E-43B9-B625-28104189A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595FECB4-BFB3-4E9A-8575-A0DEB95FE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4839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B6FF6724-6135-4324-8AFF-5EFCE0E1F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32667"/>
          <a:ext cx="1344839" cy="638175"/>
        </a:xfrm>
        <a:prstGeom prst="rect">
          <a:avLst/>
        </a:prstGeom>
      </xdr:spPr>
    </xdr:pic>
    <xdr:clientData/>
  </xdr:twoCellAnchor>
  <xdr:oneCellAnchor>
    <xdr:from>
      <xdr:col>0</xdr:col>
      <xdr:colOff>621393</xdr:colOff>
      <xdr:row>14</xdr:row>
      <xdr:rowOff>13608</xdr:rowOff>
    </xdr:from>
    <xdr:ext cx="1327603" cy="632732"/>
    <xdr:pic>
      <xdr:nvPicPr>
        <xdr:cNvPr id="4" name="Immagine 3">
          <a:extLst>
            <a:ext uri="{FF2B5EF4-FFF2-40B4-BE49-F238E27FC236}">
              <a16:creationId xmlns:a16="http://schemas.microsoft.com/office/drawing/2014/main" id="{0EEB222B-2911-4D10-A280-6789692F1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27603" cy="632732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621393</xdr:colOff>
      <xdr:row>0</xdr:row>
      <xdr:rowOff>13608</xdr:rowOff>
    </xdr:from>
    <xdr:to>
      <xdr:col>1</xdr:col>
      <xdr:colOff>816882</xdr:colOff>
      <xdr:row>2</xdr:row>
      <xdr:rowOff>80283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3CD8D889-2311-59EF-8AAB-2706F4AF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3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93" y="13608"/>
          <a:ext cx="1343025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14</xdr:row>
      <xdr:rowOff>27217</xdr:rowOff>
    </xdr:from>
    <xdr:to>
      <xdr:col>1</xdr:col>
      <xdr:colOff>830489</xdr:colOff>
      <xdr:row>16</xdr:row>
      <xdr:rowOff>93892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78041672-BEC1-4D31-AD30-235418D20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" y="5529038"/>
          <a:ext cx="1343025" cy="6381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F5EF21-3CC0-45EF-87FF-FCE9CB285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185253" cy="63113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DAFF8A8E-CAE6-4404-9D28-580F2D1B4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95925"/>
          <a:ext cx="1099528" cy="631137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234462</xdr:colOff>
      <xdr:row>9</xdr:row>
      <xdr:rowOff>104775</xdr:rowOff>
    </xdr:from>
    <xdr:to>
      <xdr:col>12</xdr:col>
      <xdr:colOff>243987</xdr:colOff>
      <xdr:row>14</xdr:row>
      <xdr:rowOff>85725</xdr:rowOff>
    </xdr:to>
    <xdr:sp macro="[0]!PrintMe" textlink="">
      <xdr:nvSpPr>
        <xdr:cNvPr id="2" name="Rectangle 1">
          <a:extLst>
            <a:ext uri="{FF2B5EF4-FFF2-40B4-BE49-F238E27FC236}">
              <a16:creationId xmlns:a16="http://schemas.microsoft.com/office/drawing/2014/main" id="{4016F540-60E8-6BD3-E4E7-130BC0B37A6F}"/>
            </a:ext>
          </a:extLst>
        </xdr:cNvPr>
        <xdr:cNvSpPr/>
      </xdr:nvSpPr>
      <xdr:spPr>
        <a:xfrm>
          <a:off x="3883270" y="1819275"/>
          <a:ext cx="3658332" cy="933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7200"/>
            <a:t>Stampa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B48906-D57A-42FA-A633-47E82C648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217638" cy="62351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B5A8B1D9-41FB-4FDF-94AD-D4F7FE9F7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59730"/>
          <a:ext cx="1099528" cy="631137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90993B-8FD3-4601-A290-787AC30CE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217638" cy="62351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DA6C4CD3-27BF-4B66-823C-21DD6F43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59730"/>
          <a:ext cx="1099528" cy="631137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144337-056E-4D91-9847-CBBF4ED5C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185253" cy="63113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49EB5418-120A-4804-94C0-2544B210E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95925"/>
          <a:ext cx="1099528" cy="631137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6778FD-75FA-4235-8A5E-589A53A59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185253" cy="63113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D0FE03DE-F8DB-4936-A7BE-2374CB13C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95925"/>
          <a:ext cx="1099528" cy="631137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655869</xdr:colOff>
      <xdr:row>0</xdr:row>
      <xdr:rowOff>0</xdr:rowOff>
    </xdr:from>
    <xdr:to>
      <xdr:col>1</xdr:col>
      <xdr:colOff>745747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6B7346-DAEB-4955-A535-89684FC62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55869" y="0"/>
          <a:ext cx="1237414" cy="631137"/>
        </a:xfrm>
        <a:prstGeom prst="rect">
          <a:avLst/>
        </a:prstGeom>
      </xdr:spPr>
    </xdr:pic>
    <xdr:clientData/>
  </xdr:twoCellAnchor>
  <xdr:oneCellAnchor>
    <xdr:from>
      <xdr:col>0</xdr:col>
      <xdr:colOff>705757</xdr:colOff>
      <xdr:row>14</xdr:row>
      <xdr:rowOff>0</xdr:rowOff>
    </xdr:from>
    <xdr:ext cx="1221992" cy="625694"/>
    <xdr:pic>
      <xdr:nvPicPr>
        <xdr:cNvPr id="4" name="Picture 1">
          <a:extLst>
            <a:ext uri="{FF2B5EF4-FFF2-40B4-BE49-F238E27FC236}">
              <a16:creationId xmlns:a16="http://schemas.microsoft.com/office/drawing/2014/main" id="{9E8461E0-F691-4918-AD24-B23C6AD2A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05757" y="5501821"/>
          <a:ext cx="1221992" cy="625694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2EA4CE-1AFE-4524-8250-08555CE3C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217638" cy="623517"/>
        </a:xfrm>
        <a:prstGeom prst="rect">
          <a:avLst/>
        </a:prstGeom>
      </xdr:spPr>
    </xdr:pic>
    <xdr:clientData/>
  </xdr:twoCellAnchor>
  <xdr:oneCellAnchor>
    <xdr:from>
      <xdr:col>0</xdr:col>
      <xdr:colOff>560614</xdr:colOff>
      <xdr:row>14</xdr:row>
      <xdr:rowOff>0</xdr:rowOff>
    </xdr:from>
    <xdr:ext cx="1221992" cy="625694"/>
    <xdr:pic>
      <xdr:nvPicPr>
        <xdr:cNvPr id="3" name="Picture 1">
          <a:extLst>
            <a:ext uri="{FF2B5EF4-FFF2-40B4-BE49-F238E27FC236}">
              <a16:creationId xmlns:a16="http://schemas.microsoft.com/office/drawing/2014/main" id="{6896A1D5-141C-4FF8-BF62-2F80451C0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5463540"/>
          <a:ext cx="1221992" cy="625694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82F7F-26FB-40AD-B5AA-8A2A12F55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60614" y="0"/>
          <a:ext cx="1217638" cy="62351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4564DB22-B2A7-41C5-B575-2345CE370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08239" y="5459730"/>
          <a:ext cx="1099528" cy="631137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F57FD5-2129-41AC-BF64-251AE5C5E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0614" y="0"/>
          <a:ext cx="1185253" cy="63113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A7BE73C3-3659-4452-A420-898B24499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239" y="5495925"/>
          <a:ext cx="1099528" cy="631137"/>
        </a:xfrm>
        <a:prstGeom prst="rect">
          <a:avLst/>
        </a:prstGeom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560614</xdr:colOff>
      <xdr:row>0</xdr:row>
      <xdr:rowOff>0</xdr:rowOff>
    </xdr:from>
    <xdr:to>
      <xdr:col>1</xdr:col>
      <xdr:colOff>650492</xdr:colOff>
      <xdr:row>2</xdr:row>
      <xdr:rowOff>59637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3C86A5-DA8F-455C-8EFA-56B40F30A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60614" y="0"/>
          <a:ext cx="1239228" cy="631137"/>
        </a:xfrm>
        <a:prstGeom prst="rect">
          <a:avLst/>
        </a:prstGeom>
      </xdr:spPr>
    </xdr:pic>
    <xdr:clientData/>
  </xdr:twoCellAnchor>
  <xdr:oneCellAnchor>
    <xdr:from>
      <xdr:col>0</xdr:col>
      <xdr:colOff>608239</xdr:colOff>
      <xdr:row>13</xdr:row>
      <xdr:rowOff>19050</xdr:rowOff>
    </xdr:from>
    <xdr:ext cx="1099528" cy="631137"/>
    <xdr:pic>
      <xdr:nvPicPr>
        <xdr:cNvPr id="3" name="Picture 2">
          <a:extLst>
            <a:ext uri="{FF2B5EF4-FFF2-40B4-BE49-F238E27FC236}">
              <a16:creationId xmlns:a16="http://schemas.microsoft.com/office/drawing/2014/main" id="{89D46A42-4220-4D46-B618-F7826BE4C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08239" y="5495925"/>
          <a:ext cx="1099528" cy="63113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0564F-94B6-4E8A-88AE-3FF4E40A63AC}">
  <sheetPr codeName="Sheet35">
    <pageSetUpPr fitToPage="1"/>
  </sheetPr>
  <dimension ref="A1:O26"/>
  <sheetViews>
    <sheetView showWhiteSpace="0" zoomScale="70" zoomScaleNormal="70" zoomScaleSheetLayoutView="55" zoomScalePageLayoutView="85" workbookViewId="0">
      <selection activeCell="B6" sqref="B6:F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0" max="10" width="8.77734375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e" cm="1">
        <f t="array" ref="B5">Code128Barcode(#REF!)</f>
        <v>#VALUE!</v>
      </c>
      <c r="C5" s="38"/>
      <c r="D5" s="38"/>
      <c r="E5" s="38"/>
      <c r="F5" s="39"/>
      <c r="K5" s="7"/>
      <c r="M5" s="17"/>
    </row>
    <row r="6" spans="1:15" ht="25.5" customHeight="1" thickBot="1">
      <c r="A6" s="36"/>
      <c r="B6" s="19" t="s">
        <v>134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Ì18-4-SP-1024-CEÎ</v>
      </c>
      <c r="C7" s="38"/>
      <c r="D7" s="38"/>
      <c r="E7" s="38"/>
      <c r="F7" s="39"/>
      <c r="I7" s="17"/>
    </row>
    <row r="8" spans="1:15" ht="24.75" customHeight="1" thickBot="1">
      <c r="A8" s="36"/>
      <c r="B8" s="40" t="s">
        <v>135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Ì01/12/2024AÎ</v>
      </c>
      <c r="C9" s="45" t="s">
        <v>41</v>
      </c>
      <c r="D9" s="10" t="str" cm="1">
        <f t="array" ref="D9">Code128Barcode(D10)</f>
        <v>Ì1000[Î</v>
      </c>
      <c r="E9" s="45" t="s">
        <v>100</v>
      </c>
      <c r="F9" s="10" t="str" cm="1">
        <f t="array" ref="F9">Code128Barcode(F10)</f>
        <v>Ì12,6kÎ</v>
      </c>
    </row>
    <row r="10" spans="1:15" ht="18.75" customHeight="1" thickBot="1">
      <c r="A10" s="44"/>
      <c r="B10" s="18">
        <v>45627</v>
      </c>
      <c r="C10" s="46"/>
      <c r="D10" s="14">
        <v>1000</v>
      </c>
      <c r="E10" s="44"/>
      <c r="F10" s="5">
        <v>12.6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e" cm="1">
        <f t="array" ref="B19">Code128Barcode(#REF!)</f>
        <v>#VALUE!</v>
      </c>
      <c r="C19" s="38"/>
      <c r="D19" s="38"/>
      <c r="E19" s="38"/>
      <c r="F19" s="39"/>
    </row>
    <row r="20" spans="1:7" ht="25.5" customHeight="1" thickBot="1">
      <c r="A20" s="36"/>
      <c r="B20" s="19" t="s">
        <v>134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Ì18-4-SP-1024-CEÎ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135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Ì01/12/2024AÎ</v>
      </c>
      <c r="C23" s="45" t="s">
        <v>41</v>
      </c>
      <c r="D23" s="10" t="str" cm="1">
        <f t="array" ref="D23">Code128Barcode(D24)</f>
        <v>Ì1000[Î</v>
      </c>
      <c r="E23" s="45" t="s">
        <v>100</v>
      </c>
      <c r="F23" s="10" t="str" cm="1">
        <f t="array" ref="F23">Code128Barcode(F24)</f>
        <v>Ì12,6kÎ</v>
      </c>
    </row>
    <row r="24" spans="1:7" ht="18.75" customHeight="1" thickBot="1">
      <c r="A24" s="44"/>
      <c r="B24" s="18">
        <v>45627</v>
      </c>
      <c r="C24" s="46"/>
      <c r="D24" s="14">
        <v>1000</v>
      </c>
      <c r="E24" s="44"/>
      <c r="F24" s="5">
        <v>12.6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C17:F17"/>
    <mergeCell ref="A19:A20"/>
    <mergeCell ref="B19:F19"/>
    <mergeCell ref="A21:A22"/>
    <mergeCell ref="B21:F21"/>
    <mergeCell ref="B22:F22"/>
    <mergeCell ref="B20:F20"/>
    <mergeCell ref="A7:A8"/>
    <mergeCell ref="B7:F7"/>
    <mergeCell ref="B8:F8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B6:F6"/>
    <mergeCell ref="C1:F1"/>
    <mergeCell ref="C2:F2"/>
    <mergeCell ref="A3:B3"/>
    <mergeCell ref="C3:F3"/>
    <mergeCell ref="A4:B4"/>
    <mergeCell ref="C4:F4"/>
    <mergeCell ref="A5:A6"/>
    <mergeCell ref="B5:F5"/>
  </mergeCells>
  <pageMargins left="0.45" right="0.2" top="0.25" bottom="0.2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D08B-5473-46D1-A311-C07028502E1F}">
  <sheetPr codeName="Sheet34">
    <pageSetUpPr fitToPage="1"/>
  </sheetPr>
  <dimension ref="A1:O26"/>
  <sheetViews>
    <sheetView showWhiteSpace="0" zoomScale="70" zoomScaleNormal="70" zoomScaleSheetLayoutView="55" zoomScalePageLayoutView="85" workbookViewId="0">
      <selection activeCell="N5" sqref="N5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ÌBRACKET VOLVO FH 2018 cÎ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131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Ì19-4-SP-1028-A[Î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132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Ì06_2025GÎ</v>
      </c>
      <c r="C9" s="45" t="s">
        <v>41</v>
      </c>
      <c r="D9" s="10" t="str" cm="1">
        <f t="array" ref="D9">Code128Barcode(D10)</f>
        <v>Ì102!Î</v>
      </c>
      <c r="E9" s="45" t="s">
        <v>100</v>
      </c>
      <c r="F9" s="10" t="str" cm="1">
        <f t="array" ref="F9">Code128Barcode(F10)</f>
        <v/>
      </c>
    </row>
    <row r="10" spans="1:15" ht="18.75" customHeight="1" thickBot="1">
      <c r="A10" s="44"/>
      <c r="B10" s="6" t="s">
        <v>130</v>
      </c>
      <c r="C10" s="46"/>
      <c r="D10" s="14">
        <v>102</v>
      </c>
      <c r="E10" s="44"/>
      <c r="F10" s="5"/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ÌBRACKET VOLVO FH 2018 cÎ</v>
      </c>
      <c r="C19" s="38"/>
      <c r="D19" s="38"/>
      <c r="E19" s="38"/>
      <c r="F19" s="39"/>
    </row>
    <row r="20" spans="1:7" ht="25.5" customHeight="1" thickBot="1">
      <c r="A20" s="36"/>
      <c r="B20" s="19" t="s">
        <v>131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Ì19-4-SP-1028-A[Î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132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Ì06_2025GÎ</v>
      </c>
      <c r="C23" s="45" t="s">
        <v>41</v>
      </c>
      <c r="D23" s="10" t="str" cm="1">
        <f t="array" ref="D23">Code128Barcode(D24)</f>
        <v>Ì103$Î</v>
      </c>
      <c r="E23" s="45" t="s">
        <v>100</v>
      </c>
      <c r="F23" s="10" t="str" cm="1">
        <f t="array" ref="F23">Code128Barcode(F24)</f>
        <v/>
      </c>
    </row>
    <row r="24" spans="1:7" ht="18.75" customHeight="1" thickBot="1">
      <c r="A24" s="44"/>
      <c r="B24" s="15" t="s">
        <v>130</v>
      </c>
      <c r="C24" s="46"/>
      <c r="D24" s="14">
        <v>103</v>
      </c>
      <c r="E24" s="44"/>
      <c r="F24" s="5"/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D4289-F4EB-4528-AD1F-0CA271C588D1}">
  <sheetPr codeName="Sheet33">
    <pageSetUpPr fitToPage="1"/>
  </sheetPr>
  <dimension ref="A1:O26"/>
  <sheetViews>
    <sheetView showWhiteSpace="0" zoomScale="70" zoomScaleNormal="70" zoomScaleSheetLayoutView="55" zoomScalePageLayoutView="85" workbookViewId="0">
      <selection activeCell="I23" sqref="I23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ÌCLIP PO512 BLUvÎ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129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Ì21-1-SP-1030EÎ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128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Ì06_2025GÎ</v>
      </c>
      <c r="C9" s="45" t="s">
        <v>41</v>
      </c>
      <c r="D9" s="10" t="str" cm="1">
        <f t="array" ref="D9">Code128Barcode(D10)</f>
        <v>Ì3000]Î</v>
      </c>
      <c r="E9" s="45" t="s">
        <v>100</v>
      </c>
      <c r="F9" s="10" t="str" cm="1">
        <f t="array" ref="F9">Code128Barcode(F10)</f>
        <v/>
      </c>
    </row>
    <row r="10" spans="1:15" ht="18.75" customHeight="1" thickBot="1">
      <c r="A10" s="44"/>
      <c r="B10" s="6" t="s">
        <v>130</v>
      </c>
      <c r="C10" s="46"/>
      <c r="D10" s="14">
        <v>3000</v>
      </c>
      <c r="E10" s="44"/>
      <c r="F10" s="5"/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ÌCLIP PO512 BLUvÎ</v>
      </c>
      <c r="C19" s="38"/>
      <c r="D19" s="38"/>
      <c r="E19" s="38"/>
      <c r="F19" s="39"/>
    </row>
    <row r="20" spans="1:7" ht="25.5" customHeight="1" thickBot="1">
      <c r="A20" s="36"/>
      <c r="B20" s="19" t="s">
        <v>129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Ì21-1-SP-1030EÎ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128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Ì06_2025GÎ</v>
      </c>
      <c r="C23" s="45" t="s">
        <v>41</v>
      </c>
      <c r="D23" s="10" t="str" cm="1">
        <f t="array" ref="D23">Code128Barcode(D24)</f>
        <v>Ì3000]Î</v>
      </c>
      <c r="E23" s="45" t="s">
        <v>100</v>
      </c>
      <c r="F23" s="10" t="str" cm="1">
        <f t="array" ref="F23">Code128Barcode(F24)</f>
        <v/>
      </c>
    </row>
    <row r="24" spans="1:7" ht="18.75" customHeight="1" thickBot="1">
      <c r="A24" s="44"/>
      <c r="B24" s="6" t="s">
        <v>130</v>
      </c>
      <c r="C24" s="46"/>
      <c r="D24" s="14">
        <v>3000</v>
      </c>
      <c r="E24" s="44"/>
      <c r="F24" s="5"/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F141F-F1E2-4F9A-91E1-B91ABBB3E8E9}">
  <sheetPr codeName="Sheet32">
    <pageSetUpPr fitToPage="1"/>
  </sheetPr>
  <dimension ref="A1:O26"/>
  <sheetViews>
    <sheetView showWhiteSpace="0" topLeftCell="A18" zoomScale="70" zoomScaleNormal="70" zoomScaleSheetLayoutView="55" zoomScalePageLayoutView="85" workbookViewId="0">
      <selection sqref="A1:F2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ÌSECONDARY  FIXATION FRONTBÎ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126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007020.13NÎ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127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Ì12_25(Î</v>
      </c>
      <c r="C9" s="45" t="s">
        <v>41</v>
      </c>
      <c r="D9" s="10" t="str" cm="1">
        <f t="array" ref="D9">Code128Barcode(D10)</f>
        <v>Ì300ÈÎ</v>
      </c>
      <c r="E9" s="45" t="s">
        <v>100</v>
      </c>
      <c r="F9" s="10" t="str" cm="1">
        <f t="array" ref="F9">Code128Barcode(F10)</f>
        <v>Ì9,96Î</v>
      </c>
    </row>
    <row r="10" spans="1:15" ht="18.75" customHeight="1" thickBot="1">
      <c r="A10" s="44"/>
      <c r="B10" s="6" t="s">
        <v>123</v>
      </c>
      <c r="C10" s="46"/>
      <c r="D10" s="14">
        <v>300</v>
      </c>
      <c r="E10" s="44"/>
      <c r="F10" s="5">
        <v>9.9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ÌSECONDARY  FIXATION FRONTBÎ</v>
      </c>
      <c r="C19" s="38"/>
      <c r="D19" s="38"/>
      <c r="E19" s="38"/>
      <c r="F19" s="39"/>
    </row>
    <row r="20" spans="1:7" ht="25.5" customHeight="1" thickBot="1">
      <c r="A20" s="36"/>
      <c r="B20" s="19" t="s">
        <v>126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ÌDRW 007020.13NÎ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127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Ì12_25(Î</v>
      </c>
      <c r="C23" s="45" t="s">
        <v>41</v>
      </c>
      <c r="D23" s="10" t="str" cm="1">
        <f t="array" ref="D23">Code128Barcode(D24)</f>
        <v>Ì300ÈÎ</v>
      </c>
      <c r="E23" s="45" t="s">
        <v>100</v>
      </c>
      <c r="F23" s="10" t="str" cm="1">
        <f t="array" ref="F23">Code128Barcode(F24)</f>
        <v>Ì9,96Î</v>
      </c>
    </row>
    <row r="24" spans="1:7" ht="18.75" customHeight="1" thickBot="1">
      <c r="A24" s="44"/>
      <c r="B24" s="15" t="s">
        <v>123</v>
      </c>
      <c r="C24" s="46"/>
      <c r="D24" s="14">
        <v>300</v>
      </c>
      <c r="E24" s="44"/>
      <c r="F24" s="5">
        <v>9.9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FEB03-FDAF-4473-A091-048FB9F14A1D}">
  <sheetPr codeName="Sheet31">
    <pageSetUpPr fitToPage="1"/>
  </sheetPr>
  <dimension ref="A1:O26"/>
  <sheetViews>
    <sheetView showWhiteSpace="0" topLeftCell="A4" zoomScale="70" zoomScaleNormal="70" zoomScaleSheetLayoutView="55" zoomScalePageLayoutView="85" workbookViewId="0">
      <selection activeCell="F25" sqref="A1:F2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ÌSECONDARY  FIXATION REAR3Î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124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006816.14`Î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125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Ì12_25(Î</v>
      </c>
      <c r="C9" s="45" t="s">
        <v>41</v>
      </c>
      <c r="D9" s="10" t="str" cm="1">
        <f t="array" ref="D9">Code128Barcode(D10)</f>
        <v>Ì400ÉÎ</v>
      </c>
      <c r="E9" s="45" t="s">
        <v>100</v>
      </c>
      <c r="F9" s="10" t="str" cm="1">
        <f t="array" ref="F9">Code128Barcode(F10)</f>
        <v>Ì9 kg4Î</v>
      </c>
    </row>
    <row r="10" spans="1:15" ht="18.75" customHeight="1" thickBot="1">
      <c r="A10" s="44"/>
      <c r="B10" s="6" t="s">
        <v>123</v>
      </c>
      <c r="C10" s="46"/>
      <c r="D10" s="14">
        <v>400</v>
      </c>
      <c r="E10" s="44"/>
      <c r="F10" s="5" t="s">
        <v>133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  <c r="L11">
        <f>11.2/5*4</f>
        <v>8.9599999999999991</v>
      </c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ÌSECONDARY  FIXATION REAR3Î</v>
      </c>
      <c r="C19" s="38"/>
      <c r="D19" s="38"/>
      <c r="E19" s="38"/>
      <c r="F19" s="39"/>
    </row>
    <row r="20" spans="1:7" ht="25.5" customHeight="1" thickBot="1">
      <c r="A20" s="36"/>
      <c r="B20" s="19" t="s">
        <v>124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ÌDRW 006816.14`Î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125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Ì12_25(Î</v>
      </c>
      <c r="C23" s="45" t="s">
        <v>41</v>
      </c>
      <c r="D23" s="10" t="str" cm="1">
        <f t="array" ref="D23">Code128Barcode(D24)</f>
        <v>Ì400ÉÎ</v>
      </c>
      <c r="E23" s="45" t="s">
        <v>100</v>
      </c>
      <c r="F23" s="10" t="str" cm="1">
        <f t="array" ref="F23">Code128Barcode(F24)</f>
        <v>Ì9 kg4Î</v>
      </c>
    </row>
    <row r="24" spans="1:7" ht="18.75" customHeight="1" thickBot="1">
      <c r="A24" s="44"/>
      <c r="B24" s="15" t="s">
        <v>123</v>
      </c>
      <c r="C24" s="46"/>
      <c r="D24" s="14">
        <v>400</v>
      </c>
      <c r="E24" s="44"/>
      <c r="F24" s="5" t="s">
        <v>133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C1:F1"/>
    <mergeCell ref="C2:F2"/>
    <mergeCell ref="A3:B3"/>
    <mergeCell ref="C3:F3"/>
    <mergeCell ref="A4:B4"/>
    <mergeCell ref="C4:F4"/>
    <mergeCell ref="A5:A6"/>
    <mergeCell ref="B5:F5"/>
    <mergeCell ref="B6:F6"/>
    <mergeCell ref="A7:A8"/>
    <mergeCell ref="B7:F7"/>
    <mergeCell ref="B8:F8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19:A20"/>
    <mergeCell ref="B19:F19"/>
    <mergeCell ref="B20:F20"/>
    <mergeCell ref="A21:A22"/>
    <mergeCell ref="B21:F21"/>
    <mergeCell ref="B22:F22"/>
    <mergeCell ref="F25:F26"/>
    <mergeCell ref="A23:A24"/>
    <mergeCell ref="C23:C24"/>
    <mergeCell ref="E23:E24"/>
    <mergeCell ref="A25:A26"/>
    <mergeCell ref="C25:C26"/>
    <mergeCell ref="D25:D26"/>
    <mergeCell ref="E25:E26"/>
  </mergeCells>
  <pageMargins left="0.45" right="0.2" top="0.25" bottom="0.25" header="0.3" footer="0.3"/>
  <pageSetup paperSize="9" scale="9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FFB0-C4F3-4C3D-859B-3368FF6CA504}">
  <sheetPr codeName="Sheet30">
    <pageSetUpPr fitToPage="1"/>
  </sheetPr>
  <dimension ref="A1:O26"/>
  <sheetViews>
    <sheetView showWhiteSpace="0" zoomScale="70" zoomScaleNormal="70" zoomScaleSheetLayoutView="55" zoomScalePageLayoutView="85" workbookViewId="0">
      <selection activeCell="K2" sqref="K2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112</v>
      </c>
      <c r="D1" s="23"/>
      <c r="E1" s="23"/>
      <c r="F1" s="24"/>
    </row>
    <row r="2" spans="1:15" ht="22.5" customHeight="1">
      <c r="A2" s="2"/>
      <c r="C2" s="48" t="s">
        <v>113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114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115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ÌPIN  TOYOTA RHgÎ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110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ÌDRW005963_02XÎ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104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Ì0425_2982515MÎ</v>
      </c>
      <c r="C9" s="45" t="s">
        <v>41</v>
      </c>
      <c r="D9" s="10" t="str" cm="1">
        <f t="array" ref="D9">Code128Barcode(D10)</f>
        <v>Ì2500fÎ</v>
      </c>
      <c r="E9" s="45" t="s">
        <v>100</v>
      </c>
      <c r="F9" s="10" t="str" cm="1">
        <f t="array" ref="F9">Code128Barcode(F10)</f>
        <v>Ì7,7.Î</v>
      </c>
    </row>
    <row r="10" spans="1:15" ht="18.75" customHeight="1" thickBot="1">
      <c r="A10" s="44"/>
      <c r="B10" s="6" t="s">
        <v>109</v>
      </c>
      <c r="C10" s="46"/>
      <c r="D10" s="14">
        <v>2500</v>
      </c>
      <c r="E10" s="44"/>
      <c r="F10" s="5">
        <v>7.7</v>
      </c>
    </row>
    <row r="11" spans="1:15" ht="45" customHeight="1" thickBot="1">
      <c r="A11" s="43" t="s">
        <v>43</v>
      </c>
      <c r="B11" s="9" t="str" cm="1">
        <f t="array" ref="B11">Code128Barcode(B12)</f>
        <v>Ì1311020_Î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>
        <v>1311020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112</v>
      </c>
      <c r="D15" s="23"/>
      <c r="E15" s="23"/>
      <c r="F15" s="24"/>
    </row>
    <row r="16" spans="1:15" ht="22.5" customHeight="1">
      <c r="A16" s="2"/>
      <c r="C16" s="48" t="s">
        <v>113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114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115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ÌPIN  TOYOTA RHgÎ</v>
      </c>
      <c r="C19" s="38"/>
      <c r="D19" s="38"/>
      <c r="E19" s="38"/>
      <c r="F19" s="39"/>
    </row>
    <row r="20" spans="1:7" ht="25.5" customHeight="1" thickBot="1">
      <c r="A20" s="36"/>
      <c r="B20" s="19" t="s">
        <v>110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ÌDRW005963_02XÎ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104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Ì0425_2982515MÎ</v>
      </c>
      <c r="C23" s="45" t="s">
        <v>41</v>
      </c>
      <c r="D23" s="10" t="str" cm="1">
        <f t="array" ref="D23">Code128Barcode(D24)</f>
        <v>Ì500ÊÎ</v>
      </c>
      <c r="E23" s="45" t="s">
        <v>100</v>
      </c>
      <c r="F23" s="10" t="str" cm="1">
        <f t="array" ref="F23">Code128Barcode(F24)</f>
        <v>Ì23Î</v>
      </c>
    </row>
    <row r="24" spans="1:7" ht="18.75" customHeight="1" thickBot="1">
      <c r="A24" s="44"/>
      <c r="B24" s="15" t="s">
        <v>109</v>
      </c>
      <c r="C24" s="46"/>
      <c r="D24" s="14">
        <v>500</v>
      </c>
      <c r="E24" s="44"/>
      <c r="F24" s="16">
        <v>2</v>
      </c>
    </row>
    <row r="25" spans="1:7" ht="45" customHeight="1" thickBot="1">
      <c r="A25" s="43" t="s">
        <v>43</v>
      </c>
      <c r="B25" s="9" t="str" cm="1">
        <f t="array" ref="B25">Code128Barcode(B26)</f>
        <v>Ì1311020_Î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>
        <v>1311020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484A-C66E-417D-B010-5784BCDF2E33}">
  <sheetPr codeName="Sheet29">
    <pageSetUpPr fitToPage="1"/>
  </sheetPr>
  <dimension ref="A1:Q26"/>
  <sheetViews>
    <sheetView showWhiteSpace="0" topLeftCell="A5" zoomScale="70" zoomScaleNormal="70" zoomScaleSheetLayoutView="55" zoomScalePageLayoutView="85" workbookViewId="0">
      <selection activeCell="U11" sqref="U11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  <col min="16" max="16" width="10" bestFit="1" customWidth="1"/>
  </cols>
  <sheetData>
    <row r="1" spans="1:17" ht="22.5" customHeight="1">
      <c r="A1" s="1"/>
      <c r="B1" s="3"/>
      <c r="C1" s="22" t="s">
        <v>112</v>
      </c>
      <c r="D1" s="23"/>
      <c r="E1" s="23"/>
      <c r="F1" s="24"/>
    </row>
    <row r="2" spans="1:17" ht="22.5" customHeight="1">
      <c r="A2" s="2"/>
      <c r="C2" s="48" t="s">
        <v>113</v>
      </c>
      <c r="D2" s="26"/>
      <c r="E2" s="26"/>
      <c r="F2" s="27"/>
    </row>
    <row r="3" spans="1:17" ht="22.5" customHeight="1">
      <c r="A3" s="28" t="s">
        <v>34</v>
      </c>
      <c r="B3" s="29"/>
      <c r="C3" s="25" t="s">
        <v>114</v>
      </c>
      <c r="D3" s="26"/>
      <c r="E3" s="26"/>
      <c r="F3" s="27"/>
    </row>
    <row r="4" spans="1:17" ht="22.5" customHeight="1" thickBot="1">
      <c r="A4" s="30" t="s">
        <v>36</v>
      </c>
      <c r="B4" s="31"/>
      <c r="C4" s="32" t="s">
        <v>115</v>
      </c>
      <c r="D4" s="33"/>
      <c r="E4" s="33"/>
      <c r="F4" s="34"/>
    </row>
    <row r="5" spans="1:17" ht="61.5" customHeight="1" thickBot="1">
      <c r="A5" s="35" t="s">
        <v>38</v>
      </c>
      <c r="B5" s="37" t="str" cm="1">
        <f t="array" ref="B5">Code128Barcode(B6)</f>
        <v>ÌPIN  TOYOTA LHÄÎ</v>
      </c>
      <c r="C5" s="38"/>
      <c r="D5" s="38"/>
      <c r="E5" s="38"/>
      <c r="F5" s="39"/>
      <c r="K5" s="7"/>
      <c r="M5" s="4"/>
    </row>
    <row r="6" spans="1:17" ht="25.5" customHeight="1" thickBot="1">
      <c r="A6" s="36"/>
      <c r="B6" s="19" t="s">
        <v>116</v>
      </c>
      <c r="C6" s="20"/>
      <c r="D6" s="20"/>
      <c r="E6" s="20"/>
      <c r="F6" s="21"/>
      <c r="H6" s="11"/>
    </row>
    <row r="7" spans="1:17" ht="61.5" customHeight="1" thickBot="1">
      <c r="A7" s="35" t="s">
        <v>39</v>
      </c>
      <c r="B7" s="37" t="str" cm="1">
        <f t="array" ref="B7">Code128Barcode(B8)</f>
        <v>ÌDRW005964_02aÎ</v>
      </c>
      <c r="C7" s="38"/>
      <c r="D7" s="38"/>
      <c r="E7" s="38"/>
      <c r="F7" s="39"/>
      <c r="I7" s="4"/>
    </row>
    <row r="8" spans="1:17" ht="24.75" customHeight="1" thickBot="1">
      <c r="A8" s="36"/>
      <c r="B8" s="40" t="s">
        <v>111</v>
      </c>
      <c r="C8" s="41"/>
      <c r="D8" s="41"/>
      <c r="E8" s="41"/>
      <c r="F8" s="42"/>
      <c r="O8" s="11"/>
    </row>
    <row r="9" spans="1:17" ht="45" customHeight="1" thickBot="1">
      <c r="A9" s="43" t="s">
        <v>40</v>
      </c>
      <c r="B9" s="9" t="str" cm="1">
        <f t="array" ref="B9">Code128Barcode(B10)</f>
        <v>Ì0425_2982515MÎ</v>
      </c>
      <c r="C9" s="45" t="s">
        <v>41</v>
      </c>
      <c r="D9" s="10" t="str" cm="1">
        <f t="array" ref="D9">Code128Barcode(D10)</f>
        <v>Ì2500fÎ</v>
      </c>
      <c r="E9" s="45" t="s">
        <v>100</v>
      </c>
      <c r="F9" s="10" t="str" cm="1">
        <f t="array" ref="F9">Code128Barcode(F10)</f>
        <v>Ì7,7.Î</v>
      </c>
    </row>
    <row r="10" spans="1:17" ht="18.75" customHeight="1" thickBot="1">
      <c r="A10" s="44"/>
      <c r="B10" s="6" t="s">
        <v>109</v>
      </c>
      <c r="C10" s="46"/>
      <c r="D10" s="14">
        <v>2500</v>
      </c>
      <c r="E10" s="44"/>
      <c r="F10" s="5">
        <v>7.7</v>
      </c>
    </row>
    <row r="11" spans="1:17" ht="45" customHeight="1" thickBot="1">
      <c r="A11" s="43" t="s">
        <v>43</v>
      </c>
      <c r="B11" s="9" t="str" cm="1">
        <f t="array" ref="B11">Code128Barcode(B12)</f>
        <v>Ì1305034'Î</v>
      </c>
      <c r="C11" s="43" t="s">
        <v>44</v>
      </c>
      <c r="D11" s="47"/>
      <c r="E11" s="45" t="s">
        <v>45</v>
      </c>
      <c r="F11" s="47"/>
      <c r="N11">
        <v>2500</v>
      </c>
      <c r="O11">
        <v>7.7</v>
      </c>
      <c r="P11">
        <f>O11/N11</f>
        <v>3.0800000000000003E-3</v>
      </c>
      <c r="Q11">
        <f>P11*1000</f>
        <v>3.08</v>
      </c>
    </row>
    <row r="12" spans="1:17" ht="18.75" customHeight="1" thickBot="1">
      <c r="A12" s="44"/>
      <c r="B12" s="5">
        <v>1305034</v>
      </c>
      <c r="C12" s="44"/>
      <c r="D12" s="44"/>
      <c r="E12" s="46"/>
      <c r="F12" s="44"/>
    </row>
    <row r="13" spans="1:17" ht="40.5" customHeight="1"/>
    <row r="14" spans="1:17" ht="2.25" customHeight="1" thickBot="1"/>
    <row r="15" spans="1:17" ht="22.5" customHeight="1">
      <c r="A15" s="1"/>
      <c r="B15" s="3"/>
      <c r="C15" s="22" t="s">
        <v>112</v>
      </c>
      <c r="D15" s="23"/>
      <c r="E15" s="23"/>
      <c r="F15" s="24"/>
    </row>
    <row r="16" spans="1:17" ht="22.5" customHeight="1">
      <c r="A16" s="2"/>
      <c r="C16" s="48" t="s">
        <v>113</v>
      </c>
      <c r="D16" s="26"/>
      <c r="E16" s="26"/>
      <c r="F16" s="27"/>
    </row>
    <row r="17" spans="1:15" ht="22.5" customHeight="1">
      <c r="A17" s="28" t="s">
        <v>34</v>
      </c>
      <c r="B17" s="29"/>
      <c r="C17" s="25" t="s">
        <v>114</v>
      </c>
      <c r="D17" s="26"/>
      <c r="E17" s="26"/>
      <c r="F17" s="27"/>
    </row>
    <row r="18" spans="1:15" ht="22.5" customHeight="1" thickBot="1">
      <c r="A18" s="30" t="s">
        <v>36</v>
      </c>
      <c r="B18" s="31"/>
      <c r="C18" s="32" t="s">
        <v>115</v>
      </c>
      <c r="D18" s="33"/>
      <c r="E18" s="33"/>
      <c r="F18" s="34"/>
    </row>
    <row r="19" spans="1:15" ht="61.5" customHeight="1" thickBot="1">
      <c r="A19" s="35" t="s">
        <v>38</v>
      </c>
      <c r="B19" s="37" t="str" cm="1">
        <f t="array" ref="B19">Code128Barcode(B20)</f>
        <v>ÌPIN  TOYOTA LHÄÎ</v>
      </c>
      <c r="C19" s="38"/>
      <c r="D19" s="38"/>
      <c r="E19" s="38"/>
      <c r="F19" s="39"/>
    </row>
    <row r="20" spans="1:15" ht="25.5" customHeight="1" thickBot="1">
      <c r="A20" s="36"/>
      <c r="B20" s="19" t="s">
        <v>116</v>
      </c>
      <c r="C20" s="20"/>
      <c r="D20" s="20"/>
      <c r="E20" s="20"/>
      <c r="F20" s="21"/>
      <c r="O20">
        <f>500/2</f>
        <v>250</v>
      </c>
    </row>
    <row r="21" spans="1:15" ht="60.75" customHeight="1" thickBot="1">
      <c r="A21" s="35" t="s">
        <v>39</v>
      </c>
      <c r="B21" s="37" t="str" cm="1">
        <f t="array" ref="B21">Code128Barcode(B22)</f>
        <v>ÌDRW005964_02aÎ</v>
      </c>
      <c r="C21" s="38"/>
      <c r="D21" s="38"/>
      <c r="E21" s="38"/>
      <c r="F21" s="39"/>
      <c r="G21" s="11"/>
    </row>
    <row r="22" spans="1:15" ht="24.75" customHeight="1" thickBot="1">
      <c r="A22" s="36"/>
      <c r="B22" s="40" t="s">
        <v>111</v>
      </c>
      <c r="C22" s="41"/>
      <c r="D22" s="41"/>
      <c r="E22" s="41"/>
      <c r="F22" s="42"/>
    </row>
    <row r="23" spans="1:15" ht="45" customHeight="1" thickBot="1">
      <c r="A23" s="43" t="s">
        <v>40</v>
      </c>
      <c r="B23" s="9" t="str" cm="1">
        <f t="array" ref="B23">Code128Barcode(B24)</f>
        <v>Ì0425_2982515MÎ</v>
      </c>
      <c r="C23" s="45" t="s">
        <v>41</v>
      </c>
      <c r="D23" s="10" t="str" cm="1">
        <f t="array" ref="D23">Code128Barcode(D24)</f>
        <v>Ì500ÊÎ</v>
      </c>
      <c r="E23" s="45" t="s">
        <v>100</v>
      </c>
      <c r="F23" s="10" t="str" cm="1">
        <f t="array" ref="F23">Code128Barcode(F24)</f>
        <v>Ì23Î</v>
      </c>
    </row>
    <row r="24" spans="1:15" ht="18.75" customHeight="1" thickBot="1">
      <c r="A24" s="44"/>
      <c r="B24" s="15" t="s">
        <v>109</v>
      </c>
      <c r="C24" s="46"/>
      <c r="D24" s="14">
        <v>500</v>
      </c>
      <c r="E24" s="44"/>
      <c r="F24" s="16">
        <v>2</v>
      </c>
    </row>
    <row r="25" spans="1:15" ht="45" customHeight="1" thickBot="1">
      <c r="A25" s="43" t="s">
        <v>43</v>
      </c>
      <c r="B25" s="9" t="str" cm="1">
        <f t="array" ref="B25">Code128Barcode(B26)</f>
        <v>Ì1305034'Î</v>
      </c>
      <c r="C25" s="43" t="s">
        <v>44</v>
      </c>
      <c r="D25" s="47"/>
      <c r="E25" s="45" t="s">
        <v>45</v>
      </c>
      <c r="F25" s="47"/>
    </row>
    <row r="26" spans="1:15" ht="18.75" customHeight="1" thickBot="1">
      <c r="A26" s="44"/>
      <c r="B26" s="5">
        <v>1305034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F875A-5234-4E85-87F7-012B9F340E36}">
  <sheetPr codeName="Sheet28">
    <pageSetUpPr fitToPage="1"/>
  </sheetPr>
  <dimension ref="A1:O26"/>
  <sheetViews>
    <sheetView showWhiteSpace="0" zoomScale="70" zoomScaleNormal="70" zoomScaleSheetLayoutView="55" zoomScalePageLayoutView="85" workbookViewId="0">
      <selection activeCell="N7" sqref="N7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ÌTERMINALoÎ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106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ÌAH-020~Î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107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Ì05_2025EÎ</v>
      </c>
      <c r="C9" s="45" t="s">
        <v>41</v>
      </c>
      <c r="D9" s="10" t="str" cm="1">
        <f t="array" ref="D9">Code128Barcode(D10)</f>
        <v>Ì1200_Î</v>
      </c>
      <c r="E9" s="45" t="s">
        <v>100</v>
      </c>
      <c r="F9" s="10" t="str" cm="1">
        <f t="array" ref="F9">Code128Barcode(F10)</f>
        <v>Ì4,2ÇÎ</v>
      </c>
    </row>
    <row r="10" spans="1:15" ht="18.75" customHeight="1" thickBot="1">
      <c r="A10" s="44"/>
      <c r="B10" s="6" t="s">
        <v>101</v>
      </c>
      <c r="C10" s="46"/>
      <c r="D10" s="14">
        <v>1200</v>
      </c>
      <c r="E10" s="44"/>
      <c r="F10" s="5">
        <v>4.2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 t="s">
        <v>108</v>
      </c>
      <c r="E11" s="45" t="s">
        <v>45</v>
      </c>
      <c r="F11" s="47">
        <v>45793</v>
      </c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ÌNUT PO512 V2:Î</v>
      </c>
      <c r="C19" s="38"/>
      <c r="D19" s="38"/>
      <c r="E19" s="38"/>
      <c r="F19" s="39"/>
    </row>
    <row r="20" spans="1:7" ht="25.5" customHeight="1" thickBot="1">
      <c r="A20" s="36"/>
      <c r="B20" s="19" t="s">
        <v>103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Ì22-06-SP-1042cÎ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102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Ì05_2025EÎ</v>
      </c>
      <c r="C23" s="45" t="s">
        <v>41</v>
      </c>
      <c r="D23" s="10" t="str" cm="1">
        <f t="array" ref="D23">Code128Barcode(D24)</f>
        <v>Ì500ÊÎ</v>
      </c>
      <c r="E23" s="45" t="s">
        <v>100</v>
      </c>
      <c r="F23" s="10" t="str" cm="1">
        <f t="array" ref="F23">Code128Barcode(F24)</f>
        <v>Ì15,4iÎ</v>
      </c>
    </row>
    <row r="24" spans="1:7" ht="18.75" customHeight="1" thickBot="1">
      <c r="A24" s="44"/>
      <c r="B24" s="15" t="s">
        <v>101</v>
      </c>
      <c r="C24" s="46"/>
      <c r="D24" s="14">
        <v>500</v>
      </c>
      <c r="E24" s="44"/>
      <c r="F24" s="5">
        <v>15.4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 t="s">
        <v>97</v>
      </c>
      <c r="E25" s="45" t="s">
        <v>45</v>
      </c>
      <c r="F25" s="47">
        <v>45786</v>
      </c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B354-B747-42FC-826D-831997F292D3}">
  <sheetPr codeName="Sheet26">
    <pageSetUpPr fitToPage="1"/>
  </sheetPr>
  <dimension ref="A1:O26"/>
  <sheetViews>
    <sheetView showWhiteSpace="0" zoomScale="70" zoomScaleNormal="70" zoomScaleSheetLayoutView="55" zoomScalePageLayoutView="85" workbookViewId="0">
      <selection activeCell="F25" sqref="A1:F2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ÌNUT PO512 V2:Î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103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Ì22-06-SP-1042cÎ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102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Ì06_2025GÎ</v>
      </c>
      <c r="C9" s="45" t="s">
        <v>41</v>
      </c>
      <c r="D9" s="10" t="str" cm="1">
        <f t="array" ref="D9">Code128Barcode(D10)</f>
        <v>Ì500ÊÎ</v>
      </c>
      <c r="E9" s="45" t="s">
        <v>100</v>
      </c>
      <c r="F9" s="10" t="str" cm="1">
        <f t="array" ref="F9">Code128Barcode(F10)</f>
        <v>Ì14,2_Î</v>
      </c>
    </row>
    <row r="10" spans="1:15" ht="18.75" customHeight="1" thickBot="1">
      <c r="A10" s="44"/>
      <c r="B10" s="6" t="s">
        <v>130</v>
      </c>
      <c r="C10" s="46"/>
      <c r="D10" s="14">
        <v>500</v>
      </c>
      <c r="E10" s="44"/>
      <c r="F10" s="5">
        <v>14.2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ÌNUT PO512 V2:Î</v>
      </c>
      <c r="C19" s="38"/>
      <c r="D19" s="38"/>
      <c r="E19" s="38"/>
      <c r="F19" s="39"/>
    </row>
    <row r="20" spans="1:7" ht="25.5" customHeight="1" thickBot="1">
      <c r="A20" s="36"/>
      <c r="B20" s="19" t="s">
        <v>103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Ì22-06-SP-1042cÎ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102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Ì06_2025GÎ</v>
      </c>
      <c r="C23" s="45" t="s">
        <v>41</v>
      </c>
      <c r="D23" s="10" t="str" cm="1">
        <f t="array" ref="D23">Code128Barcode(D24)</f>
        <v>Ì500ÊÎ</v>
      </c>
      <c r="E23" s="45" t="s">
        <v>100</v>
      </c>
      <c r="F23" s="10" t="str" cm="1">
        <f t="array" ref="F23">Code128Barcode(F24)</f>
        <v>Ì14,2_Î</v>
      </c>
    </row>
    <row r="24" spans="1:7" ht="18.75" customHeight="1" thickBot="1">
      <c r="A24" s="44"/>
      <c r="B24" s="6" t="s">
        <v>130</v>
      </c>
      <c r="C24" s="46"/>
      <c r="D24" s="14">
        <v>500</v>
      </c>
      <c r="E24" s="44"/>
      <c r="F24" s="5">
        <v>14.2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C1:F1"/>
    <mergeCell ref="C2:F2"/>
    <mergeCell ref="A3:B3"/>
    <mergeCell ref="C3:F3"/>
    <mergeCell ref="A4:B4"/>
    <mergeCell ref="C4:F4"/>
    <mergeCell ref="A5:A6"/>
    <mergeCell ref="B5:F5"/>
    <mergeCell ref="B6:F6"/>
    <mergeCell ref="A7:A8"/>
    <mergeCell ref="B7:F7"/>
    <mergeCell ref="B8:F8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19:A20"/>
    <mergeCell ref="B19:F19"/>
    <mergeCell ref="B20:F20"/>
    <mergeCell ref="A21:A22"/>
    <mergeCell ref="B21:F21"/>
    <mergeCell ref="B22:F22"/>
    <mergeCell ref="F25:F26"/>
    <mergeCell ref="A23:A24"/>
    <mergeCell ref="C23:C24"/>
    <mergeCell ref="E23:E24"/>
    <mergeCell ref="A25:A26"/>
    <mergeCell ref="C25:C26"/>
    <mergeCell ref="D25:D26"/>
    <mergeCell ref="E25:E26"/>
  </mergeCells>
  <pageMargins left="0.45" right="0.2" top="0.25" bottom="0.25" header="0.3" footer="0.3"/>
  <pageSetup paperSize="9" scale="98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C24F9-8BF5-4AEF-9E9D-FDE5BDCB0D8E}">
  <sheetPr codeName="Sheet25">
    <pageSetUpPr fitToPage="1"/>
  </sheetPr>
  <dimension ref="A1:O26"/>
  <sheetViews>
    <sheetView showWhiteSpace="0" topLeftCell="A7" zoomScale="70" zoomScaleNormal="70" zoomScaleSheetLayoutView="55" zoomScalePageLayoutView="85" workbookViewId="0">
      <selection activeCell="T10" sqref="T10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8" t="s">
        <v>34</v>
      </c>
      <c r="B3" s="29"/>
      <c r="C3" s="25" t="s">
        <v>53</v>
      </c>
      <c r="D3" s="26"/>
      <c r="E3" s="26"/>
      <c r="F3" s="27"/>
    </row>
    <row r="4" spans="1:15" ht="22.5" customHeight="1" thickBot="1">
      <c r="A4" s="30" t="s">
        <v>36</v>
      </c>
      <c r="B4" s="31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ÌCLIP PO 512  BIANCOnÎ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98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Ì18-4-SP-1025-BCÎ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99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Ì05_2025EÎ</v>
      </c>
      <c r="C9" s="45" t="s">
        <v>41</v>
      </c>
      <c r="D9" s="10" t="str" cm="1">
        <f t="array" ref="D9">Code128Barcode(D10)</f>
        <v>Ì5000_Î</v>
      </c>
      <c r="E9" s="45" t="s">
        <v>100</v>
      </c>
      <c r="F9" s="10" t="str" cm="1">
        <f t="array" ref="F9">Code128Barcode(F10)</f>
        <v>Ì13,45gÎ</v>
      </c>
    </row>
    <row r="10" spans="1:15" ht="18.75" customHeight="1" thickBot="1">
      <c r="A10" s="44"/>
      <c r="B10" s="6" t="s">
        <v>101</v>
      </c>
      <c r="C10" s="46"/>
      <c r="D10" s="14">
        <v>5000</v>
      </c>
      <c r="E10" s="44"/>
      <c r="F10" s="5">
        <v>13.45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8" t="s">
        <v>34</v>
      </c>
      <c r="B17" s="29"/>
      <c r="C17" s="25" t="s">
        <v>53</v>
      </c>
      <c r="D17" s="26"/>
      <c r="E17" s="26"/>
      <c r="F17" s="27"/>
    </row>
    <row r="18" spans="1:7" ht="22.5" customHeight="1" thickBot="1">
      <c r="A18" s="30" t="s">
        <v>36</v>
      </c>
      <c r="B18" s="31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ÌCLIP PO 512  BIANCOnÎ</v>
      </c>
      <c r="C19" s="38"/>
      <c r="D19" s="38"/>
      <c r="E19" s="38"/>
      <c r="F19" s="39"/>
    </row>
    <row r="20" spans="1:7" ht="25.5" customHeight="1" thickBot="1">
      <c r="A20" s="36"/>
      <c r="B20" s="19" t="s">
        <v>98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Ì18-4-SP-1025-BCÎ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99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Ì05_2025EÎ</v>
      </c>
      <c r="C23" s="45" t="s">
        <v>41</v>
      </c>
      <c r="D23" s="10" t="str" cm="1">
        <f t="array" ref="D23">Code128Barcode(D24)</f>
        <v>Ì5000_Î</v>
      </c>
      <c r="E23" s="45" t="s">
        <v>100</v>
      </c>
      <c r="F23" s="10" t="str" cm="1">
        <f t="array" ref="F23">Code128Barcode(F24)</f>
        <v>Ì13,45gÎ</v>
      </c>
    </row>
    <row r="24" spans="1:7" ht="18.75" customHeight="1" thickBot="1">
      <c r="A24" s="44"/>
      <c r="B24" s="15" t="s">
        <v>101</v>
      </c>
      <c r="C24" s="46"/>
      <c r="D24" s="14">
        <v>5000</v>
      </c>
      <c r="E24" s="44"/>
      <c r="F24" s="5">
        <v>13.45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07999-4326-4F5E-9842-05FDA895EBA2}">
  <sheetPr codeName="Sheet1"/>
  <dimension ref="A1:I18"/>
  <sheetViews>
    <sheetView workbookViewId="0">
      <selection activeCell="C23" sqref="C23"/>
    </sheetView>
  </sheetViews>
  <sheetFormatPr defaultRowHeight="14.4"/>
  <cols>
    <col min="1" max="1" width="15" customWidth="1"/>
    <col min="2" max="2" width="23.88671875" bestFit="1" customWidth="1"/>
    <col min="3" max="3" width="13" customWidth="1"/>
    <col min="4" max="4" width="10.88671875" customWidth="1"/>
    <col min="5" max="5" width="33.88671875" bestFit="1" customWidth="1"/>
  </cols>
  <sheetData>
    <row r="1" spans="1:9" ht="12" customHeight="1"/>
    <row r="2" spans="1:9" ht="12" customHeight="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</row>
    <row r="3" spans="1:9" ht="12" customHeight="1">
      <c r="A3" s="8" t="s">
        <v>5</v>
      </c>
      <c r="B3" s="8" t="s">
        <v>6</v>
      </c>
      <c r="C3" s="8">
        <v>0.05</v>
      </c>
      <c r="D3" s="8">
        <v>1297841</v>
      </c>
      <c r="E3" s="8" t="s">
        <v>7</v>
      </c>
      <c r="F3" s="8"/>
      <c r="G3" s="8"/>
      <c r="H3" s="8"/>
      <c r="I3" s="8"/>
    </row>
    <row r="4" spans="1:9" ht="12" customHeight="1">
      <c r="A4" s="8" t="s">
        <v>8</v>
      </c>
      <c r="B4" s="8" t="s">
        <v>6</v>
      </c>
      <c r="C4" s="8">
        <v>0.05</v>
      </c>
      <c r="D4" s="8">
        <v>1297840</v>
      </c>
      <c r="E4" s="8" t="s">
        <v>9</v>
      </c>
      <c r="F4" s="8"/>
      <c r="G4" s="8"/>
      <c r="H4" s="8"/>
      <c r="I4" s="8"/>
    </row>
    <row r="5" spans="1:9" ht="12" customHeight="1">
      <c r="A5" s="8" t="s">
        <v>10</v>
      </c>
      <c r="B5" s="8" t="s">
        <v>11</v>
      </c>
      <c r="C5" s="8">
        <v>0.222</v>
      </c>
      <c r="D5" s="8">
        <v>1256846</v>
      </c>
      <c r="E5" s="8" t="s">
        <v>12</v>
      </c>
      <c r="F5" s="8"/>
      <c r="G5" s="8"/>
      <c r="H5" s="8"/>
      <c r="I5" s="8"/>
    </row>
    <row r="6" spans="1:9" ht="12" customHeight="1">
      <c r="A6" s="8" t="s">
        <v>13</v>
      </c>
      <c r="B6" s="8" t="s">
        <v>11</v>
      </c>
      <c r="C6" s="8">
        <v>0.222</v>
      </c>
      <c r="D6" s="8">
        <v>1256847</v>
      </c>
      <c r="E6" s="8" t="s">
        <v>14</v>
      </c>
      <c r="F6" s="8"/>
      <c r="G6" s="8"/>
      <c r="H6" s="8"/>
      <c r="I6" s="8"/>
    </row>
    <row r="7" spans="1:9" ht="12" customHeight="1">
      <c r="A7" s="8" t="s">
        <v>15</v>
      </c>
      <c r="B7" s="8" t="s">
        <v>16</v>
      </c>
      <c r="C7" s="8">
        <v>0.245</v>
      </c>
      <c r="D7" s="8">
        <v>1256849</v>
      </c>
      <c r="E7" s="8" t="s">
        <v>17</v>
      </c>
      <c r="F7" s="8"/>
      <c r="G7" s="8"/>
      <c r="H7" s="8"/>
      <c r="I7" s="8"/>
    </row>
    <row r="8" spans="1:9" ht="12" customHeight="1">
      <c r="A8" s="8" t="s">
        <v>18</v>
      </c>
      <c r="B8" s="8" t="s">
        <v>16</v>
      </c>
      <c r="C8" s="8">
        <v>0.245</v>
      </c>
      <c r="D8" s="8">
        <v>1256848</v>
      </c>
      <c r="E8" s="8" t="s">
        <v>19</v>
      </c>
      <c r="F8" s="8"/>
      <c r="G8" s="8"/>
      <c r="H8" s="8"/>
      <c r="I8" s="8"/>
    </row>
    <row r="9" spans="1:9" ht="12" customHeight="1">
      <c r="A9" s="8" t="s">
        <v>20</v>
      </c>
      <c r="B9" s="8" t="s">
        <v>21</v>
      </c>
      <c r="C9" s="8">
        <v>0.30599999999999999</v>
      </c>
      <c r="D9" s="8">
        <v>68679</v>
      </c>
      <c r="E9" s="8" t="s">
        <v>81</v>
      </c>
      <c r="F9" s="8"/>
      <c r="G9" s="8"/>
      <c r="H9" s="8"/>
      <c r="I9" s="8"/>
    </row>
    <row r="10" spans="1:9" ht="12" customHeight="1">
      <c r="A10" s="8" t="s">
        <v>23</v>
      </c>
      <c r="B10" s="8" t="s">
        <v>21</v>
      </c>
      <c r="C10" s="8">
        <v>0.30599999999999999</v>
      </c>
      <c r="D10" s="8">
        <v>68678</v>
      </c>
      <c r="E10" t="s">
        <v>82</v>
      </c>
      <c r="F10" s="8"/>
      <c r="G10" s="8"/>
      <c r="H10" s="8"/>
      <c r="I10" s="8"/>
    </row>
    <row r="11" spans="1:9" ht="12" customHeight="1">
      <c r="A11" s="8" t="s">
        <v>24</v>
      </c>
      <c r="B11" s="8" t="s">
        <v>25</v>
      </c>
      <c r="C11" s="8">
        <v>0.30599999999999999</v>
      </c>
      <c r="D11" s="8">
        <v>68578</v>
      </c>
      <c r="E11" s="8" t="s">
        <v>79</v>
      </c>
      <c r="F11" s="8"/>
      <c r="G11" s="8"/>
      <c r="H11" s="8"/>
      <c r="I11" s="8"/>
    </row>
    <row r="12" spans="1:9" ht="12" customHeight="1">
      <c r="A12" s="8" t="s">
        <v>26</v>
      </c>
      <c r="B12" s="8" t="s">
        <v>25</v>
      </c>
      <c r="C12" s="8">
        <v>0.30599999999999999</v>
      </c>
      <c r="D12" s="8">
        <v>68577</v>
      </c>
      <c r="E12" t="s">
        <v>80</v>
      </c>
      <c r="F12" s="8"/>
      <c r="G12" s="8"/>
      <c r="H12" s="8"/>
      <c r="I12" s="8"/>
    </row>
    <row r="13" spans="1:9" ht="12" customHeight="1">
      <c r="A13" s="8" t="s">
        <v>27</v>
      </c>
      <c r="B13" s="8" t="s">
        <v>93</v>
      </c>
      <c r="C13" s="8">
        <v>2.1000000000000001E-2</v>
      </c>
      <c r="D13" s="8" t="s">
        <v>28</v>
      </c>
      <c r="E13" s="8" t="s">
        <v>29</v>
      </c>
      <c r="F13" s="8"/>
      <c r="G13" s="8"/>
      <c r="H13" s="8"/>
      <c r="I13" s="8"/>
    </row>
    <row r="14" spans="1:9" ht="12" customHeight="1">
      <c r="A14" s="8" t="s">
        <v>30</v>
      </c>
      <c r="B14" s="8" t="s">
        <v>92</v>
      </c>
      <c r="C14" s="8">
        <v>3.3000000000000002E-2</v>
      </c>
      <c r="D14" s="8" t="s">
        <v>28</v>
      </c>
      <c r="E14" s="8" t="s">
        <v>31</v>
      </c>
      <c r="F14" s="8"/>
      <c r="G14" s="8"/>
      <c r="H14" s="8"/>
      <c r="I14" s="8"/>
    </row>
    <row r="15" spans="1:9">
      <c r="A15" s="8" t="s">
        <v>74</v>
      </c>
      <c r="B15" s="8" t="s">
        <v>71</v>
      </c>
      <c r="C15" s="8">
        <v>0.223</v>
      </c>
      <c r="D15" s="8">
        <v>1221628</v>
      </c>
      <c r="E15" s="8" t="s">
        <v>72</v>
      </c>
      <c r="G15" s="11"/>
    </row>
    <row r="16" spans="1:9">
      <c r="A16" s="8" t="s">
        <v>75</v>
      </c>
      <c r="B16" s="8" t="s">
        <v>71</v>
      </c>
      <c r="C16" s="8">
        <v>0.223</v>
      </c>
      <c r="D16" s="8">
        <v>1221629</v>
      </c>
      <c r="E16" s="8" t="s">
        <v>73</v>
      </c>
    </row>
    <row r="17" spans="1:5">
      <c r="A17" s="8" t="s">
        <v>76</v>
      </c>
      <c r="B17" s="8" t="s">
        <v>78</v>
      </c>
      <c r="C17" s="8">
        <v>0.223</v>
      </c>
      <c r="D17" s="8">
        <v>1221628</v>
      </c>
      <c r="E17" s="8" t="s">
        <v>72</v>
      </c>
    </row>
    <row r="18" spans="1:5">
      <c r="A18" s="8" t="s">
        <v>77</v>
      </c>
      <c r="B18" s="8" t="s">
        <v>78</v>
      </c>
      <c r="C18" s="8">
        <v>0.223</v>
      </c>
      <c r="D18" s="8">
        <v>1221629</v>
      </c>
      <c r="E18" s="8" t="s">
        <v>73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27F1D-79B1-425B-9499-18BF9EE426EB}">
  <sheetPr codeName="Foglio1"/>
  <dimension ref="A1"/>
  <sheetViews>
    <sheetView workbookViewId="0">
      <selection activeCell="H21" sqref="H21"/>
    </sheetView>
  </sheetViews>
  <sheetFormatPr defaultRowHeight="14.4"/>
  <sheetData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4D15D-3D2D-46F3-B208-A777FEFA1A7B}">
  <sheetPr codeName="Sheet15">
    <pageSetUpPr fitToPage="1"/>
  </sheetPr>
  <dimension ref="A1:O26"/>
  <sheetViews>
    <sheetView showWhiteSpace="0" topLeftCell="A6" zoomScale="85" zoomScaleNormal="85" zoomScaleSheetLayoutView="55" zoomScalePageLayoutView="85" workbookViewId="0">
      <selection activeCell="B6" sqref="B6:F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3.33203125" customWidth="1"/>
    <col min="7" max="7" width="4.109375" bestFit="1" customWidth="1"/>
    <col min="8" max="8" width="4.33203125" bestFit="1" customWidth="1"/>
    <col min="9" max="9" width="4" bestFit="1" customWidth="1"/>
    <col min="11" max="11" width="4.10937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32</v>
      </c>
      <c r="D1" s="23"/>
      <c r="E1" s="23"/>
      <c r="F1" s="24"/>
    </row>
    <row r="2" spans="1:15" ht="22.5" customHeight="1">
      <c r="A2" s="2"/>
      <c r="C2" s="25" t="s">
        <v>33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35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37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ÌC118 DIVISION BAR RHhÎ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40" t="s">
        <v>12</v>
      </c>
      <c r="C6" s="41"/>
      <c r="D6" s="41"/>
      <c r="E6" s="41"/>
      <c r="F6" s="42"/>
      <c r="H6" s="11"/>
    </row>
    <row r="7" spans="1:15" ht="61.5" customHeight="1" thickBot="1">
      <c r="A7" s="35" t="s">
        <v>39</v>
      </c>
      <c r="B7" s="37" t="str" cm="1">
        <f t="array" ref="B7">Code128Barcode(B8)</f>
        <v>ÌDRW 003372 REV.11RÎ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11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Ì252102^Î</v>
      </c>
      <c r="C9" s="45" t="s">
        <v>41</v>
      </c>
      <c r="D9" s="10" t="str" cm="1">
        <f t="array" ref="D9">Code128Barcode(D10)</f>
        <v>Ì50VÎ</v>
      </c>
      <c r="E9" s="43" t="s">
        <v>42</v>
      </c>
      <c r="F9" s="10" t="str" cm="1">
        <f t="array" ref="F9">Code128Barcode(F10)</f>
        <v>Ì11,1 KgwÎ</v>
      </c>
    </row>
    <row r="10" spans="1:15" ht="18.75" customHeight="1" thickBot="1">
      <c r="A10" s="44"/>
      <c r="B10" s="6">
        <v>252102</v>
      </c>
      <c r="C10" s="46"/>
      <c r="D10" s="5">
        <v>50</v>
      </c>
      <c r="E10" s="44"/>
      <c r="F10" s="5" t="s">
        <v>49</v>
      </c>
    </row>
    <row r="11" spans="1:15" ht="45" customHeight="1" thickBot="1">
      <c r="A11" s="43" t="s">
        <v>43</v>
      </c>
      <c r="B11" s="9" t="str" cm="1">
        <f t="array" ref="B11">Code128Barcode(B12)</f>
        <v>Ì1256846tÎ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>
        <v>1256846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32</v>
      </c>
      <c r="D15" s="23"/>
      <c r="E15" s="23"/>
      <c r="F15" s="24"/>
    </row>
    <row r="16" spans="1:15" ht="22.5" customHeight="1">
      <c r="A16" s="2"/>
      <c r="C16" s="25" t="s">
        <v>33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35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37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ÌC118 DIVISION BAR RHhÎ</v>
      </c>
      <c r="C19" s="38"/>
      <c r="D19" s="38"/>
      <c r="E19" s="38"/>
      <c r="F19" s="39"/>
    </row>
    <row r="20" spans="1:7" ht="25.5" customHeight="1" thickBot="1">
      <c r="A20" s="36"/>
      <c r="B20" s="40" t="s">
        <v>12</v>
      </c>
      <c r="C20" s="41"/>
      <c r="D20" s="41"/>
      <c r="E20" s="41"/>
      <c r="F20" s="42"/>
    </row>
    <row r="21" spans="1:7" ht="60.75" customHeight="1" thickBot="1">
      <c r="A21" s="35" t="s">
        <v>39</v>
      </c>
      <c r="B21" s="37" t="str" cm="1">
        <f t="array" ref="B21">Code128Barcode(B22)</f>
        <v>ÌDRW 003372 REV.11RÎ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11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Ì252102^Î</v>
      </c>
      <c r="C23" s="45" t="s">
        <v>41</v>
      </c>
      <c r="D23" s="10" t="str" cm="1">
        <f t="array" ref="D23">Code128Barcode(D24)</f>
        <v>Ì50VÎ</v>
      </c>
      <c r="E23" s="43" t="s">
        <v>42</v>
      </c>
      <c r="F23" s="10" t="str" cm="1">
        <f t="array" ref="F23">Code128Barcode(F24)</f>
        <v>Ì11,1 KgwÎ</v>
      </c>
    </row>
    <row r="24" spans="1:7" ht="18.75" customHeight="1" thickBot="1">
      <c r="A24" s="44"/>
      <c r="B24" s="6">
        <v>252102</v>
      </c>
      <c r="C24" s="46"/>
      <c r="D24" s="5">
        <v>50</v>
      </c>
      <c r="E24" s="44"/>
      <c r="F24" s="5" t="s">
        <v>49</v>
      </c>
    </row>
    <row r="25" spans="1:7" ht="45" customHeight="1" thickBot="1">
      <c r="A25" s="43" t="s">
        <v>43</v>
      </c>
      <c r="B25" s="9" t="str" cm="1">
        <f t="array" ref="B25">Code128Barcode(B26)</f>
        <v>Ì1256846tÎ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>
        <v>1256846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6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DAE28-E5C4-4DF8-9677-09175420B379}">
  <sheetPr codeName="Sheet3"/>
  <dimension ref="H7:S12"/>
  <sheetViews>
    <sheetView tabSelected="1" zoomScaleNormal="100" workbookViewId="0">
      <selection activeCell="R11" sqref="R11"/>
    </sheetView>
  </sheetViews>
  <sheetFormatPr defaultRowHeight="14.4"/>
  <sheetData>
    <row r="7" spans="8:19">
      <c r="H7" s="11"/>
    </row>
    <row r="12" spans="8:19">
      <c r="S12" t="s">
        <v>46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F827F-F80C-4EB3-95DF-99A8B7056BFD}">
  <dimension ref="I12:L14"/>
  <sheetViews>
    <sheetView workbookViewId="0">
      <selection activeCell="G10" sqref="G10:N19"/>
    </sheetView>
  </sheetViews>
  <sheetFormatPr defaultRowHeight="14.4"/>
  <cols>
    <col min="10" max="10" width="22.109375" bestFit="1" customWidth="1"/>
  </cols>
  <sheetData>
    <row r="12" spans="9:12">
      <c r="J12" t="s">
        <v>120</v>
      </c>
      <c r="K12" t="s">
        <v>121</v>
      </c>
      <c r="L12" t="s">
        <v>122</v>
      </c>
    </row>
    <row r="13" spans="9:12">
      <c r="I13" t="s">
        <v>118</v>
      </c>
      <c r="J13">
        <v>2399</v>
      </c>
      <c r="K13">
        <v>890</v>
      </c>
      <c r="L13">
        <f>K13+J13</f>
        <v>3289</v>
      </c>
    </row>
    <row r="14" spans="9:12">
      <c r="I14" t="s">
        <v>119</v>
      </c>
      <c r="J14">
        <v>2905</v>
      </c>
      <c r="K14">
        <v>480</v>
      </c>
      <c r="L14">
        <f>K14+J14</f>
        <v>3385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DBF8-DB9C-4FBD-A37C-D1DB79569A6C}">
  <sheetPr codeName="Sheet18">
    <pageSetUpPr fitToPage="1"/>
  </sheetPr>
  <dimension ref="A1:O26"/>
  <sheetViews>
    <sheetView showWhiteSpace="0" topLeftCell="A8" zoomScale="70" zoomScaleNormal="70" zoomScaleSheetLayoutView="55" zoomScalePageLayoutView="85" workbookViewId="0">
      <selection activeCell="B10" sqref="B10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4.10937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32</v>
      </c>
      <c r="D1" s="23"/>
      <c r="E1" s="23"/>
      <c r="F1" s="24"/>
    </row>
    <row r="2" spans="1:15" ht="22.5" customHeight="1">
      <c r="A2" s="2"/>
      <c r="C2" s="25" t="s">
        <v>33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35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37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ÌX290 RDF DIV BAR ALU RHiÎ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40" t="s">
        <v>47</v>
      </c>
      <c r="C6" s="41"/>
      <c r="D6" s="41"/>
      <c r="E6" s="41"/>
      <c r="F6" s="42"/>
      <c r="H6" s="11"/>
    </row>
    <row r="7" spans="1:15" ht="61.5" customHeight="1" thickBot="1">
      <c r="A7" s="35" t="s">
        <v>39</v>
      </c>
      <c r="B7" s="37" t="str" cm="1">
        <f t="array" ref="B7">Code128Barcode(B8)</f>
        <v>ÌDRW AD005865_11dÎ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48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ÌRH244701&gt;Î</v>
      </c>
      <c r="C9" s="45" t="s">
        <v>41</v>
      </c>
      <c r="D9" s="10" t="str" cm="1">
        <f t="array" ref="D9">Code128Barcode(D10)</f>
        <v>Ì50VÎ</v>
      </c>
      <c r="E9" s="43" t="s">
        <v>42</v>
      </c>
      <c r="F9" s="10" t="str" cm="1">
        <f t="array" ref="F9">Code128Barcode(F10)</f>
        <v>Ì11,1 KgwÎ</v>
      </c>
    </row>
    <row r="10" spans="1:15" ht="18.75" customHeight="1" thickBot="1">
      <c r="A10" s="44"/>
      <c r="B10" s="6" t="s">
        <v>136</v>
      </c>
      <c r="C10" s="46"/>
      <c r="D10" s="5">
        <v>50</v>
      </c>
      <c r="E10" s="44"/>
      <c r="F10" s="5" t="s">
        <v>49</v>
      </c>
    </row>
    <row r="11" spans="1:15" ht="45" customHeight="1" thickBot="1">
      <c r="A11" s="43" t="s">
        <v>43</v>
      </c>
      <c r="B11" s="9" t="str" cm="1">
        <f t="array" ref="B11">Code128Barcode(B12)</f>
        <v>Ì1243488wÎ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>
        <v>1243488</v>
      </c>
      <c r="C12" s="44"/>
      <c r="D12" s="44"/>
      <c r="E12" s="46"/>
      <c r="F12" s="49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32</v>
      </c>
      <c r="D15" s="23"/>
      <c r="E15" s="23"/>
      <c r="F15" s="24"/>
    </row>
    <row r="16" spans="1:15" ht="22.5" customHeight="1">
      <c r="A16" s="2"/>
      <c r="C16" s="25" t="s">
        <v>33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35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37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ÌX290 RDF DIV BAR ALU RHiÎ</v>
      </c>
      <c r="C19" s="38"/>
      <c r="D19" s="38"/>
      <c r="E19" s="38"/>
      <c r="F19" s="39"/>
    </row>
    <row r="20" spans="1:7" ht="25.5" customHeight="1" thickBot="1">
      <c r="A20" s="36"/>
      <c r="B20" s="40" t="s">
        <v>47</v>
      </c>
      <c r="C20" s="41"/>
      <c r="D20" s="41"/>
      <c r="E20" s="41"/>
      <c r="F20" s="42"/>
    </row>
    <row r="21" spans="1:7" ht="60.75" customHeight="1" thickBot="1">
      <c r="A21" s="35" t="s">
        <v>39</v>
      </c>
      <c r="B21" s="37" t="str" cm="1">
        <f t="array" ref="B21">Code128Barcode(B22)</f>
        <v>ÌDRW AD005865_11dÎ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48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ÌRH244701&gt;Î</v>
      </c>
      <c r="C23" s="45" t="s">
        <v>41</v>
      </c>
      <c r="D23" s="10" t="str" cm="1">
        <f t="array" ref="D23">Code128Barcode(D24)</f>
        <v>Ì50VÎ</v>
      </c>
      <c r="E23" s="43" t="s">
        <v>42</v>
      </c>
      <c r="F23" s="10" t="str" cm="1">
        <f t="array" ref="F23">Code128Barcode(F24)</f>
        <v>Ì11,1 KgwÎ</v>
      </c>
    </row>
    <row r="24" spans="1:7" ht="18.75" customHeight="1" thickBot="1">
      <c r="A24" s="44"/>
      <c r="B24" s="6" t="s">
        <v>136</v>
      </c>
      <c r="C24" s="46"/>
      <c r="D24" s="5">
        <v>50</v>
      </c>
      <c r="E24" s="44"/>
      <c r="F24" s="5" t="s">
        <v>49</v>
      </c>
    </row>
    <row r="25" spans="1:7" ht="45" customHeight="1" thickBot="1">
      <c r="A25" s="43" t="s">
        <v>43</v>
      </c>
      <c r="B25" s="9" t="str" cm="1">
        <f t="array" ref="B25">Code128Barcode(B26)</f>
        <v>Ì1243488wÎ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>
        <v>1243488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7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D0751-C904-46B5-A859-D60696324AE9}">
  <sheetPr codeName="Sheet19">
    <pageSetUpPr fitToPage="1"/>
  </sheetPr>
  <dimension ref="A1:O26"/>
  <sheetViews>
    <sheetView showWhiteSpace="0" topLeftCell="A4" zoomScale="70" zoomScaleNormal="70" zoomScaleSheetLayoutView="55" zoomScalePageLayoutView="85" workbookViewId="0">
      <selection activeCell="L12" sqref="L12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4.10937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32</v>
      </c>
      <c r="D1" s="23"/>
      <c r="E1" s="23"/>
      <c r="F1" s="24"/>
    </row>
    <row r="2" spans="1:15" ht="22.5" customHeight="1">
      <c r="A2" s="2"/>
      <c r="C2" s="25" t="s">
        <v>33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35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37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ÌX290 RDF DIV BAR ALU LHLÎ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40" t="s">
        <v>50</v>
      </c>
      <c r="C6" s="41"/>
      <c r="D6" s="41"/>
      <c r="E6" s="41"/>
      <c r="F6" s="42"/>
      <c r="H6" s="11"/>
    </row>
    <row r="7" spans="1:15" ht="61.5" customHeight="1" thickBot="1">
      <c r="A7" s="35" t="s">
        <v>39</v>
      </c>
      <c r="B7" s="37" t="str" cm="1">
        <f t="array" ref="B7">Code128Barcode(B8)</f>
        <v>ÌDRW AD005865_11dÎ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48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ÌLH2447018Î</v>
      </c>
      <c r="C9" s="45" t="s">
        <v>41</v>
      </c>
      <c r="D9" s="10" t="str" cm="1">
        <f t="array" ref="D9">Code128Barcode(D10)</f>
        <v>Ì50VÎ</v>
      </c>
      <c r="E9" s="43" t="s">
        <v>42</v>
      </c>
      <c r="F9" s="10" t="str" cm="1">
        <f t="array" ref="F9">Code128Barcode(F10)</f>
        <v>Ì11,1 KgwÎ</v>
      </c>
    </row>
    <row r="10" spans="1:15" ht="18.75" customHeight="1" thickBot="1">
      <c r="A10" s="44"/>
      <c r="B10" s="6" t="s">
        <v>94</v>
      </c>
      <c r="C10" s="46"/>
      <c r="D10" s="5">
        <v>50</v>
      </c>
      <c r="E10" s="44"/>
      <c r="F10" s="5" t="s">
        <v>49</v>
      </c>
    </row>
    <row r="11" spans="1:15" ht="45" customHeight="1" thickBot="1">
      <c r="A11" s="43" t="s">
        <v>43</v>
      </c>
      <c r="B11" s="9" t="str" cm="1">
        <f t="array" ref="B11">Code128Barcode(B12)</f>
        <v>Ì1243487pÎ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>
        <v>1243487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32</v>
      </c>
      <c r="D15" s="23"/>
      <c r="E15" s="23"/>
      <c r="F15" s="24"/>
    </row>
    <row r="16" spans="1:15" ht="22.5" customHeight="1">
      <c r="A16" s="2"/>
      <c r="C16" s="25" t="s">
        <v>33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35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37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ÌX290 RDF DIV BAR ALU LHLÎ</v>
      </c>
      <c r="C19" s="38"/>
      <c r="D19" s="38"/>
      <c r="E19" s="38"/>
      <c r="F19" s="39"/>
    </row>
    <row r="20" spans="1:7" ht="25.5" customHeight="1" thickBot="1">
      <c r="A20" s="36"/>
      <c r="B20" s="40" t="s">
        <v>50</v>
      </c>
      <c r="C20" s="41"/>
      <c r="D20" s="41"/>
      <c r="E20" s="41"/>
      <c r="F20" s="42"/>
    </row>
    <row r="21" spans="1:7" ht="60.75" customHeight="1" thickBot="1">
      <c r="A21" s="35" t="s">
        <v>39</v>
      </c>
      <c r="B21" s="37" t="str" cm="1">
        <f t="array" ref="B21">Code128Barcode(B22)</f>
        <v>ÌDRW AD005865_11dÎ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48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ÌLH2447018Î</v>
      </c>
      <c r="C23" s="45" t="s">
        <v>41</v>
      </c>
      <c r="D23" s="10" t="str" cm="1">
        <f t="array" ref="D23">Code128Barcode(D24)</f>
        <v>Ì50VÎ</v>
      </c>
      <c r="E23" s="43" t="s">
        <v>42</v>
      </c>
      <c r="F23" s="10" t="str" cm="1">
        <f t="array" ref="F23">Code128Barcode(F24)</f>
        <v>Ì11,1 KgwÎ</v>
      </c>
    </row>
    <row r="24" spans="1:7" ht="18.75" customHeight="1" thickBot="1">
      <c r="A24" s="44"/>
      <c r="B24" s="6" t="s">
        <v>94</v>
      </c>
      <c r="C24" s="46"/>
      <c r="D24" s="5">
        <v>50</v>
      </c>
      <c r="E24" s="44"/>
      <c r="F24" s="5" t="s">
        <v>49</v>
      </c>
    </row>
    <row r="25" spans="1:7" ht="45" customHeight="1" thickBot="1">
      <c r="A25" s="43" t="s">
        <v>43</v>
      </c>
      <c r="B25" s="9" t="str" cm="1">
        <f t="array" ref="B25">Code128Barcode(B26)</f>
        <v>Ì1243487pÎ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>
        <v>1243487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7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407DC-FFE3-4691-A26A-280A822EBE0D}">
  <sheetPr codeName="Sheet17">
    <pageSetUpPr fitToPage="1"/>
  </sheetPr>
  <dimension ref="A1:O26"/>
  <sheetViews>
    <sheetView showWhiteSpace="0" zoomScale="70" zoomScaleNormal="70" zoomScaleSheetLayoutView="55" zoomScalePageLayoutView="85" workbookViewId="0">
      <selection activeCell="K17" sqref="K17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ÌPLAQUE PUPITRE 1EÎ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62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ADD0003146837$Î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63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Ì-.Î</v>
      </c>
      <c r="C9" s="45" t="s">
        <v>41</v>
      </c>
      <c r="D9" s="10" t="str" cm="1">
        <f t="array" ref="D9">Code128Barcode(D10)</f>
        <v>Ì40UÎ</v>
      </c>
      <c r="E9" s="43" t="s">
        <v>42</v>
      </c>
      <c r="F9" s="10" t="str" cm="1">
        <f t="array" ref="F9">Code128Barcode(F10)</f>
        <v>Ì22  KgnÎ</v>
      </c>
      <c r="K9">
        <f>0.525*42</f>
        <v>22.05</v>
      </c>
      <c r="M9">
        <f>4*5.5</f>
        <v>22</v>
      </c>
    </row>
    <row r="10" spans="1:15" ht="18.75" customHeight="1" thickBot="1">
      <c r="A10" s="44"/>
      <c r="B10" s="6" t="s">
        <v>22</v>
      </c>
      <c r="C10" s="46"/>
      <c r="D10" s="5">
        <v>40</v>
      </c>
      <c r="E10" s="44"/>
      <c r="F10" s="5" t="s">
        <v>64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 t="s">
        <v>58</v>
      </c>
      <c r="E11" s="45" t="s">
        <v>45</v>
      </c>
      <c r="F11" s="47">
        <v>45574</v>
      </c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10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10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10" ht="61.5" customHeight="1" thickBot="1">
      <c r="A19" s="35" t="s">
        <v>38</v>
      </c>
      <c r="B19" s="37" t="str" cm="1">
        <f t="array" ref="B19">Code128Barcode(B20)</f>
        <v>ÌPLAQUE PUPITRE 3eÎ</v>
      </c>
      <c r="C19" s="38"/>
      <c r="D19" s="38"/>
      <c r="E19" s="38"/>
      <c r="F19" s="39"/>
    </row>
    <row r="20" spans="1:10" ht="25.5" customHeight="1" thickBot="1">
      <c r="A20" s="36"/>
      <c r="B20" s="40" t="s">
        <v>65</v>
      </c>
      <c r="C20" s="41"/>
      <c r="D20" s="41"/>
      <c r="E20" s="41"/>
      <c r="F20" s="42"/>
    </row>
    <row r="21" spans="1:10" ht="60.75" customHeight="1" thickBot="1">
      <c r="A21" s="35" t="s">
        <v>39</v>
      </c>
      <c r="B21" s="37" t="str" cm="1">
        <f t="array" ref="B21">Code128Barcode(B22)</f>
        <v>ÌDRW ADD0003142353KÎ</v>
      </c>
      <c r="C21" s="38"/>
      <c r="D21" s="38"/>
      <c r="E21" s="38"/>
      <c r="F21" s="39"/>
      <c r="G21" s="11"/>
    </row>
    <row r="22" spans="1:10" ht="24.75" customHeight="1" thickBot="1">
      <c r="A22" s="36"/>
      <c r="B22" s="40" t="s">
        <v>66</v>
      </c>
      <c r="C22" s="41"/>
      <c r="D22" s="41"/>
      <c r="E22" s="41"/>
      <c r="F22" s="42"/>
    </row>
    <row r="23" spans="1:10" ht="45" customHeight="1" thickBot="1">
      <c r="A23" s="43" t="s">
        <v>40</v>
      </c>
      <c r="B23" s="9" t="str" cm="1">
        <f t="array" ref="B23">Code128Barcode(B24)</f>
        <v>Ì-.Î</v>
      </c>
      <c r="C23" s="45" t="s">
        <v>41</v>
      </c>
      <c r="D23" s="10" t="str" cm="1">
        <f t="array" ref="D23">Code128Barcode(D24)</f>
        <v>Ì36`Î</v>
      </c>
      <c r="E23" s="43" t="s">
        <v>42</v>
      </c>
      <c r="F23" s="10" t="str" cm="1">
        <f t="array" ref="F23">Code128Barcode(F24)</f>
        <v>Ì19 KgpÎ</v>
      </c>
      <c r="J23">
        <f>40*0.484</f>
        <v>19.36</v>
      </c>
    </row>
    <row r="24" spans="1:10" ht="18.75" customHeight="1" thickBot="1">
      <c r="A24" s="44"/>
      <c r="B24" s="6" t="s">
        <v>22</v>
      </c>
      <c r="C24" s="46"/>
      <c r="D24" s="5">
        <v>36</v>
      </c>
      <c r="E24" s="44"/>
      <c r="F24" s="5" t="s">
        <v>67</v>
      </c>
    </row>
    <row r="25" spans="1:10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 t="s">
        <v>58</v>
      </c>
      <c r="E25" s="45" t="s">
        <v>45</v>
      </c>
      <c r="F25" s="47">
        <v>45574</v>
      </c>
    </row>
    <row r="26" spans="1:10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2E25-274B-4B36-9086-192CBA75C6CA}">
  <sheetPr codeName="Sheet16">
    <pageSetUpPr fitToPage="1"/>
  </sheetPr>
  <dimension ref="A1:O26"/>
  <sheetViews>
    <sheetView showWhiteSpace="0" zoomScale="70" zoomScaleNormal="70" zoomScaleSheetLayoutView="55" zoomScalePageLayoutView="85" workbookViewId="0">
      <selection activeCell="T6" sqref="T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ÌPLAQUE COMMANDE ECLAIRAGE CABINE(Î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55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ADD0003141508`Î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56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Ì-.Î</v>
      </c>
      <c r="C9" s="45" t="s">
        <v>41</v>
      </c>
      <c r="D9" s="10" t="str" cm="1">
        <f t="array" ref="D9">Code128Barcode(D10)</f>
        <v>Ì20SÎ</v>
      </c>
      <c r="E9" s="43" t="s">
        <v>42</v>
      </c>
      <c r="F9" s="10" t="str" cm="1">
        <f t="array" ref="F9">Code128Barcode(F10)</f>
        <v>Ì1  Kg&gt;Î</v>
      </c>
    </row>
    <row r="10" spans="1:15" ht="18.75" customHeight="1" thickBot="1">
      <c r="A10" s="44"/>
      <c r="B10" s="6" t="s">
        <v>22</v>
      </c>
      <c r="C10" s="46"/>
      <c r="D10" s="5">
        <v>20</v>
      </c>
      <c r="E10" s="44"/>
      <c r="F10" s="5" t="s">
        <v>57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 t="s">
        <v>58</v>
      </c>
      <c r="E11" s="45" t="s">
        <v>45</v>
      </c>
      <c r="F11" s="47">
        <v>45574</v>
      </c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ÌPLAQUE PRISEnÎ</v>
      </c>
      <c r="C19" s="38"/>
      <c r="D19" s="38"/>
      <c r="E19" s="38"/>
      <c r="F19" s="39"/>
    </row>
    <row r="20" spans="1:7" ht="25.5" customHeight="1" thickBot="1">
      <c r="A20" s="36"/>
      <c r="B20" s="40" t="s">
        <v>59</v>
      </c>
      <c r="C20" s="41"/>
      <c r="D20" s="41"/>
      <c r="E20" s="41"/>
      <c r="F20" s="42"/>
    </row>
    <row r="21" spans="1:7" ht="60.75" customHeight="1" thickBot="1">
      <c r="A21" s="35" t="s">
        <v>39</v>
      </c>
      <c r="B21" s="37" t="str" cm="1">
        <f t="array" ref="B21">Code128Barcode(B22)</f>
        <v>ÌDRW ADD0003141745$Î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60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Ì-.Î</v>
      </c>
      <c r="C23" s="45" t="s">
        <v>41</v>
      </c>
      <c r="D23" s="10" t="str" cm="1">
        <f t="array" ref="D23">Code128Barcode(D24)</f>
        <v>Ì20SÎ</v>
      </c>
      <c r="E23" s="43" t="s">
        <v>42</v>
      </c>
      <c r="F23" s="10" t="str" cm="1">
        <f t="array" ref="F23">Code128Barcode(F24)</f>
        <v>Ì1.6 Kg@Î</v>
      </c>
    </row>
    <row r="24" spans="1:7" ht="18.75" customHeight="1" thickBot="1">
      <c r="A24" s="44"/>
      <c r="B24" s="6" t="s">
        <v>22</v>
      </c>
      <c r="C24" s="46"/>
      <c r="D24" s="5">
        <v>20</v>
      </c>
      <c r="E24" s="44"/>
      <c r="F24" s="5" t="s">
        <v>61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 t="s">
        <v>58</v>
      </c>
      <c r="E25" s="45" t="s">
        <v>45</v>
      </c>
      <c r="F25" s="47">
        <v>45574</v>
      </c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03AD6-EB4B-49B1-8E42-AEECD54CB9A5}">
  <sheetPr codeName="Sheet22">
    <pageSetUpPr fitToPage="1"/>
  </sheetPr>
  <dimension ref="A1:O26"/>
  <sheetViews>
    <sheetView showWhiteSpace="0" topLeftCell="A9" zoomScale="70" zoomScaleNormal="70" zoomScaleSheetLayoutView="55" zoomScalePageLayoutView="85" workbookViewId="0">
      <selection activeCell="N23" sqref="N23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ÌMONO BRACKET PB V620DiÎ</v>
      </c>
      <c r="C5" s="38"/>
      <c r="D5" s="38"/>
      <c r="E5" s="38"/>
      <c r="F5" s="39"/>
      <c r="K5" s="7"/>
      <c r="L5" s="12"/>
      <c r="M5" s="4"/>
    </row>
    <row r="6" spans="1:15" ht="25.5" customHeight="1" thickBot="1">
      <c r="A6" s="36"/>
      <c r="B6" s="19" t="s">
        <v>85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004706 R060Î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91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Ì06-2025ÃÎ</v>
      </c>
      <c r="C9" s="45" t="s">
        <v>41</v>
      </c>
      <c r="D9" s="10" t="str" cm="1">
        <f t="array" ref="D9">Code128Barcode(D10)</f>
        <v>Ì78hÎ</v>
      </c>
      <c r="E9" s="43" t="s">
        <v>42</v>
      </c>
      <c r="F9" s="10" t="str" cm="1">
        <f t="array" ref="F9">Code128Barcode(F10)</f>
        <v>Ì4,.5  Kg*Î</v>
      </c>
    </row>
    <row r="10" spans="1:15" ht="18.75" customHeight="1" thickBot="1">
      <c r="A10" s="44"/>
      <c r="B10" s="6" t="str">
        <f>"06-2025"</f>
        <v>06-2025</v>
      </c>
      <c r="C10" s="46"/>
      <c r="D10" s="5">
        <v>78</v>
      </c>
      <c r="E10" s="44"/>
      <c r="F10" s="5" t="s">
        <v>87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ÌMONO BRACKET PB V620DiÎ</v>
      </c>
      <c r="C19" s="38"/>
      <c r="D19" s="38"/>
      <c r="E19" s="38"/>
      <c r="F19" s="39"/>
    </row>
    <row r="20" spans="1:7" ht="25.5" customHeight="1" thickBot="1">
      <c r="A20" s="36"/>
      <c r="B20" s="19" t="s">
        <v>85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ÌDRW 004706 R060Î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91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Ì06-2025ÃÎ</v>
      </c>
      <c r="C23" s="45" t="s">
        <v>41</v>
      </c>
      <c r="D23" s="10" t="str" cm="1">
        <f t="array" ref="D23">Code128Barcode(D24)</f>
        <v>Ì78hÎ</v>
      </c>
      <c r="E23" s="43" t="s">
        <v>42</v>
      </c>
      <c r="F23" s="10" t="str" cm="1">
        <f t="array" ref="F23">Code128Barcode(F24)</f>
        <v>Ì4,5  KgGÎ</v>
      </c>
    </row>
    <row r="24" spans="1:7" ht="18.75" customHeight="1" thickBot="1">
      <c r="A24" s="44"/>
      <c r="B24" s="6" t="str">
        <f>"06-2025"</f>
        <v>06-2025</v>
      </c>
      <c r="C24" s="46"/>
      <c r="D24" s="5">
        <v>78</v>
      </c>
      <c r="E24" s="44"/>
      <c r="F24" s="5" t="s">
        <v>88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C1:F1"/>
    <mergeCell ref="C2:F2"/>
    <mergeCell ref="A3:B3"/>
    <mergeCell ref="C3:F3"/>
    <mergeCell ref="A4:B4"/>
    <mergeCell ref="C4:F4"/>
    <mergeCell ref="A5:A6"/>
    <mergeCell ref="B5:F5"/>
    <mergeCell ref="B6:F6"/>
    <mergeCell ref="A7:A8"/>
    <mergeCell ref="B7:F7"/>
    <mergeCell ref="B8:F8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19:A20"/>
    <mergeCell ref="B19:F19"/>
    <mergeCell ref="B20:F20"/>
    <mergeCell ref="A21:A22"/>
    <mergeCell ref="B21:F21"/>
    <mergeCell ref="B22:F22"/>
    <mergeCell ref="F25:F26"/>
    <mergeCell ref="A23:A24"/>
    <mergeCell ref="C23:C24"/>
    <mergeCell ref="E23:E24"/>
    <mergeCell ref="A25:A26"/>
    <mergeCell ref="C25:C26"/>
    <mergeCell ref="D25:D26"/>
    <mergeCell ref="E25:E26"/>
  </mergeCells>
  <pageMargins left="0.45" right="0.2" top="0.25" bottom="0.25" header="0.3" footer="0.3"/>
  <pageSetup paperSize="9" scale="98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2876C-B2C2-48CD-8F5A-4DF1E32D3EBF}">
  <sheetPr codeName="Sheet23">
    <pageSetUpPr fitToPage="1"/>
  </sheetPr>
  <dimension ref="A1:O26"/>
  <sheetViews>
    <sheetView showWhiteSpace="0" zoomScale="70" zoomScaleNormal="70" zoomScaleSheetLayoutView="55" zoomScalePageLayoutView="85" workbookViewId="0">
      <selection activeCell="F25" sqref="A1:F2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ÌCOVER BRACKET JEEP RENEGADE 14vÎ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89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ÌDRW 1240708WÎ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90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Ì01-2025uÎ</v>
      </c>
      <c r="C9" s="45" t="s">
        <v>41</v>
      </c>
      <c r="D9" s="10" t="str" cm="1">
        <f t="array" ref="D9">Code128Barcode(D10)</f>
        <v>Ì100ÆÎ</v>
      </c>
      <c r="E9" s="43" t="s">
        <v>42</v>
      </c>
      <c r="F9" s="10" t="str" cm="1">
        <f t="array" ref="F9">Code128Barcode(F10)</f>
        <v>Ì5  KgBÎ</v>
      </c>
    </row>
    <row r="10" spans="1:15" ht="18.75" customHeight="1" thickBot="1">
      <c r="A10" s="44"/>
      <c r="B10" s="6" t="str">
        <f>"01-2025"</f>
        <v>01-2025</v>
      </c>
      <c r="C10" s="46"/>
      <c r="D10" s="5">
        <v>100</v>
      </c>
      <c r="E10" s="44"/>
      <c r="F10" s="5" t="s">
        <v>86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>
        <v>45709</v>
      </c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ÌCOVER BRACKET JEEP RENEGADE 14vÎ</v>
      </c>
      <c r="C19" s="38"/>
      <c r="D19" s="38"/>
      <c r="E19" s="38"/>
      <c r="F19" s="39"/>
    </row>
    <row r="20" spans="1:7" ht="25.5" customHeight="1" thickBot="1">
      <c r="A20" s="36"/>
      <c r="B20" s="19" t="s">
        <v>89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ÌDRW 1240708WÎ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90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Ì01-2025uÎ</v>
      </c>
      <c r="C23" s="45" t="s">
        <v>41</v>
      </c>
      <c r="D23" s="10" t="str" cm="1">
        <f t="array" ref="D23">Code128Barcode(D24)</f>
        <v>Ì100ÆÎ</v>
      </c>
      <c r="E23" s="43" t="s">
        <v>42</v>
      </c>
      <c r="F23" s="10" t="str" cm="1">
        <f t="array" ref="F23">Code128Barcode(F24)</f>
        <v>Ì5  KgBÎ</v>
      </c>
    </row>
    <row r="24" spans="1:7" ht="18.75" customHeight="1" thickBot="1">
      <c r="A24" s="44"/>
      <c r="B24" s="6" t="str">
        <f>"01-2025"</f>
        <v>01-2025</v>
      </c>
      <c r="C24" s="46"/>
      <c r="D24" s="5">
        <v>100</v>
      </c>
      <c r="E24" s="44"/>
      <c r="F24" s="5" t="s">
        <v>86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>
        <v>45709</v>
      </c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C1:F1"/>
    <mergeCell ref="C2:F2"/>
    <mergeCell ref="A3:B3"/>
    <mergeCell ref="C3:F3"/>
    <mergeCell ref="A4:B4"/>
    <mergeCell ref="C4:F4"/>
    <mergeCell ref="A5:A6"/>
    <mergeCell ref="B5:F5"/>
    <mergeCell ref="B6:F6"/>
    <mergeCell ref="A7:A8"/>
    <mergeCell ref="B7:F7"/>
    <mergeCell ref="B8:F8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19:A20"/>
    <mergeCell ref="B19:F19"/>
    <mergeCell ref="B20:F20"/>
    <mergeCell ref="A21:A22"/>
    <mergeCell ref="B21:F21"/>
    <mergeCell ref="B22:F22"/>
    <mergeCell ref="F25:F26"/>
    <mergeCell ref="A23:A24"/>
    <mergeCell ref="C23:C24"/>
    <mergeCell ref="E23:E24"/>
    <mergeCell ref="A25:A26"/>
    <mergeCell ref="C25:C26"/>
    <mergeCell ref="D25:D26"/>
    <mergeCell ref="E25:E26"/>
  </mergeCells>
  <pageMargins left="0.45" right="0.2" top="0.25" bottom="0.25" header="0.3" footer="0.3"/>
  <pageSetup paperSize="9" scale="98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B5533-C680-4616-A790-0552552893AC}">
  <sheetPr codeName="Sheet21">
    <pageSetUpPr fitToPage="1"/>
  </sheetPr>
  <dimension ref="A1:O26"/>
  <sheetViews>
    <sheetView showWhiteSpace="0" topLeftCell="A18" zoomScale="70" zoomScaleNormal="70" zoomScaleSheetLayoutView="55" zoomScalePageLayoutView="85" workbookViewId="0">
      <selection sqref="A1:F26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ÌK0 WS LOOM BRACKET 24oÎ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84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Ì23-11-SP-1047-AeÎ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83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Ì05/25kÎ</v>
      </c>
      <c r="C9" s="45" t="s">
        <v>41</v>
      </c>
      <c r="D9" s="10" t="str" cm="1">
        <f t="array" ref="D9">Code128Barcode(D10)</f>
        <v>Ì200ÇÎ</v>
      </c>
      <c r="E9" s="43" t="s">
        <v>42</v>
      </c>
      <c r="F9" s="10" t="str" cm="1">
        <f t="array" ref="F9">Code128Barcode(F10)</f>
        <v>Ì5 kg0Î</v>
      </c>
    </row>
    <row r="10" spans="1:15" ht="18.75" customHeight="1" thickBot="1">
      <c r="A10" s="44"/>
      <c r="B10" s="13" t="s">
        <v>105</v>
      </c>
      <c r="C10" s="46"/>
      <c r="D10" s="5">
        <v>200</v>
      </c>
      <c r="E10" s="44"/>
      <c r="F10" s="5" t="str">
        <f>D10*0.025 &amp; " kg"</f>
        <v>5 kg</v>
      </c>
    </row>
    <row r="11" spans="1:15" ht="45" customHeight="1" thickBot="1">
      <c r="A11" s="43" t="s">
        <v>43</v>
      </c>
      <c r="B11" s="9" t="str" cm="1">
        <f t="array" ref="B11">Code128Barcode(B12)</f>
        <v>Ì-no sap-6Î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tr">
        <f>"-no sap-"</f>
        <v>-no sap-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ÌK0 WS LOOM BRACKET 24oÎ</v>
      </c>
      <c r="C19" s="38"/>
      <c r="D19" s="38"/>
      <c r="E19" s="38"/>
      <c r="F19" s="39"/>
    </row>
    <row r="20" spans="1:7" ht="25.5" customHeight="1" thickBot="1">
      <c r="A20" s="36"/>
      <c r="B20" s="19" t="s">
        <v>84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Ì23-11-SP-1047-AeÎ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83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Ì05/25kÎ</v>
      </c>
      <c r="C23" s="45" t="s">
        <v>41</v>
      </c>
      <c r="D23" s="10" t="str" cm="1">
        <f t="array" ref="D23">Code128Barcode(D24)</f>
        <v>Ì200ÇÎ</v>
      </c>
      <c r="E23" s="43" t="s">
        <v>42</v>
      </c>
      <c r="F23" s="10" t="str" cm="1">
        <f t="array" ref="F23">Code128Barcode(F24)</f>
        <v>Ì5 kg0Î</v>
      </c>
    </row>
    <row r="24" spans="1:7" ht="18.75" customHeight="1" thickBot="1">
      <c r="A24" s="44"/>
      <c r="B24" s="13" t="s">
        <v>105</v>
      </c>
      <c r="C24" s="46"/>
      <c r="D24" s="5">
        <v>200</v>
      </c>
      <c r="E24" s="44"/>
      <c r="F24" s="5" t="str">
        <f>D24*0.025 &amp; " kg"</f>
        <v>5 kg</v>
      </c>
    </row>
    <row r="25" spans="1:7" ht="45" customHeight="1" thickBot="1">
      <c r="A25" s="43" t="s">
        <v>43</v>
      </c>
      <c r="B25" s="9" t="str" cm="1">
        <f t="array" ref="B25">Code128Barcode(B26)</f>
        <v>Ì-no sap-6Î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tr">
        <f>"-no sap-"</f>
        <v>-no sap-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716C-BB7A-45EC-9101-10D6ACC49758}">
  <sheetPr codeName="Sheet20">
    <pageSetUpPr fitToPage="1"/>
  </sheetPr>
  <dimension ref="A1:O26"/>
  <sheetViews>
    <sheetView showWhiteSpace="0" zoomScale="70" zoomScaleNormal="70" zoomScaleSheetLayoutView="55" zoomScalePageLayoutView="85" workbookViewId="0">
      <selection activeCell="K3" sqref="K3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ÌEN ACIER S355+Î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68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ÌX03DTEC00032 4Î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69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Ì-.Î</v>
      </c>
      <c r="C9" s="45" t="s">
        <v>41</v>
      </c>
      <c r="D9" s="10" t="str" cm="1">
        <f t="array" ref="D9">Code128Barcode(D10)</f>
        <v>Ì23Î</v>
      </c>
      <c r="E9" s="43" t="s">
        <v>42</v>
      </c>
      <c r="F9" s="10" t="str" cm="1">
        <f t="array" ref="F9">Code128Barcode(F10)</f>
        <v>Ì11 Kg`Î</v>
      </c>
    </row>
    <row r="10" spans="1:15" ht="18.75" customHeight="1" thickBot="1">
      <c r="A10" s="44"/>
      <c r="B10" s="6" t="s">
        <v>22</v>
      </c>
      <c r="C10" s="46"/>
      <c r="D10" s="5">
        <v>2</v>
      </c>
      <c r="E10" s="44"/>
      <c r="F10" s="5" t="s">
        <v>70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/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ÌEN ACIER S355+Î</v>
      </c>
      <c r="C19" s="38"/>
      <c r="D19" s="38"/>
      <c r="E19" s="38"/>
      <c r="F19" s="39"/>
    </row>
    <row r="20" spans="1:7" ht="25.5" customHeight="1" thickBot="1">
      <c r="A20" s="36"/>
      <c r="B20" s="40" t="s">
        <v>68</v>
      </c>
      <c r="C20" s="41"/>
      <c r="D20" s="41"/>
      <c r="E20" s="41"/>
      <c r="F20" s="42"/>
    </row>
    <row r="21" spans="1:7" ht="60.75" customHeight="1" thickBot="1">
      <c r="A21" s="35" t="s">
        <v>39</v>
      </c>
      <c r="B21" s="37" t="str" cm="1">
        <f t="array" ref="B21">Code128Barcode(B22)</f>
        <v>ÌX03DTEC00032 4Î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69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Ì-.Î</v>
      </c>
      <c r="C23" s="45" t="s">
        <v>41</v>
      </c>
      <c r="D23" s="10" t="str" cm="1">
        <f t="array" ref="D23">Code128Barcode(D24)</f>
        <v>Ì45Î</v>
      </c>
      <c r="E23" s="43" t="s">
        <v>42</v>
      </c>
      <c r="F23" s="10" t="str" cm="1">
        <f t="array" ref="F23">Code128Barcode(F24)</f>
        <v>Ì22  KgnÎ</v>
      </c>
    </row>
    <row r="24" spans="1:7" ht="18.75" customHeight="1" thickBot="1">
      <c r="A24" s="44"/>
      <c r="B24" s="6" t="s">
        <v>22</v>
      </c>
      <c r="C24" s="46"/>
      <c r="D24" s="5">
        <v>4</v>
      </c>
      <c r="E24" s="44"/>
      <c r="F24" s="5" t="s">
        <v>64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/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E1984-D920-4EF6-8EAD-7937214EF9F4}">
  <sheetPr codeName="Sheet24">
    <pageSetUpPr fitToPage="1"/>
  </sheetPr>
  <dimension ref="A1:O26"/>
  <sheetViews>
    <sheetView showWhiteSpace="0" topLeftCell="A16" zoomScale="70" zoomScaleNormal="70" zoomScaleSheetLayoutView="55" zoomScalePageLayoutView="85" workbookViewId="0">
      <selection activeCell="H21" sqref="H21"/>
    </sheetView>
  </sheetViews>
  <sheetFormatPr defaultRowHeight="14.4"/>
  <cols>
    <col min="1" max="1" width="16.44140625" bestFit="1" customWidth="1"/>
    <col min="2" max="2" width="21.44140625" customWidth="1"/>
    <col min="3" max="3" width="10" bestFit="1" customWidth="1"/>
    <col min="4" max="4" width="19.33203125" bestFit="1" customWidth="1"/>
    <col min="5" max="5" width="10.33203125" customWidth="1"/>
    <col min="6" max="6" width="21.44140625" customWidth="1"/>
    <col min="7" max="7" width="4.109375" bestFit="1" customWidth="1"/>
    <col min="8" max="8" width="4.33203125" bestFit="1" customWidth="1"/>
    <col min="9" max="9" width="4" bestFit="1" customWidth="1"/>
    <col min="11" max="11" width="6.33203125" bestFit="1" customWidth="1"/>
    <col min="12" max="12" width="4.33203125" bestFit="1" customWidth="1"/>
    <col min="13" max="13" width="5" bestFit="1" customWidth="1"/>
  </cols>
  <sheetData>
    <row r="1" spans="1:15" ht="22.5" customHeight="1">
      <c r="A1" s="1"/>
      <c r="B1" s="3"/>
      <c r="C1" s="22" t="s">
        <v>51</v>
      </c>
      <c r="D1" s="23"/>
      <c r="E1" s="23"/>
      <c r="F1" s="24"/>
    </row>
    <row r="2" spans="1:15" ht="22.5" customHeight="1">
      <c r="A2" s="2"/>
      <c r="C2" s="25" t="s">
        <v>52</v>
      </c>
      <c r="D2" s="26"/>
      <c r="E2" s="26"/>
      <c r="F2" s="27"/>
    </row>
    <row r="3" spans="1:15" ht="22.5" customHeight="1">
      <c r="A3" s="25" t="s">
        <v>34</v>
      </c>
      <c r="B3" s="27"/>
      <c r="C3" s="25" t="s">
        <v>53</v>
      </c>
      <c r="D3" s="26"/>
      <c r="E3" s="26"/>
      <c r="F3" s="27"/>
    </row>
    <row r="4" spans="1:15" ht="22.5" customHeight="1" thickBot="1">
      <c r="A4" s="32" t="s">
        <v>36</v>
      </c>
      <c r="B4" s="34"/>
      <c r="C4" s="32" t="s">
        <v>54</v>
      </c>
      <c r="D4" s="33"/>
      <c r="E4" s="33"/>
      <c r="F4" s="34"/>
    </row>
    <row r="5" spans="1:15" ht="61.5" customHeight="1" thickBot="1">
      <c r="A5" s="35" t="s">
        <v>38</v>
      </c>
      <c r="B5" s="37" t="str" cm="1">
        <f t="array" ref="B5">Code128Barcode(B6)</f>
        <v>ÌFIXATION CONNECTEURS  DEFROSTGÎ</v>
      </c>
      <c r="C5" s="38"/>
      <c r="D5" s="38"/>
      <c r="E5" s="38"/>
      <c r="F5" s="39"/>
      <c r="K5" s="7"/>
      <c r="M5" s="4"/>
    </row>
    <row r="6" spans="1:15" ht="25.5" customHeight="1" thickBot="1">
      <c r="A6" s="36"/>
      <c r="B6" s="19" t="s">
        <v>95</v>
      </c>
      <c r="C6" s="20"/>
      <c r="D6" s="20"/>
      <c r="E6" s="20"/>
      <c r="F6" s="21"/>
      <c r="H6" s="11"/>
    </row>
    <row r="7" spans="1:15" ht="61.5" customHeight="1" thickBot="1">
      <c r="A7" s="35" t="s">
        <v>39</v>
      </c>
      <c r="B7" s="37" t="str" cm="1">
        <f t="array" ref="B7">Code128Barcode(B8)</f>
        <v>ÌYX3033xÎ</v>
      </c>
      <c r="C7" s="38"/>
      <c r="D7" s="38"/>
      <c r="E7" s="38"/>
      <c r="F7" s="39"/>
      <c r="I7" s="4"/>
    </row>
    <row r="8" spans="1:15" ht="24.75" customHeight="1" thickBot="1">
      <c r="A8" s="36"/>
      <c r="B8" s="40" t="s">
        <v>96</v>
      </c>
      <c r="C8" s="41"/>
      <c r="D8" s="41"/>
      <c r="E8" s="41"/>
      <c r="F8" s="42"/>
      <c r="O8" s="11"/>
    </row>
    <row r="9" spans="1:15" ht="45" customHeight="1" thickBot="1">
      <c r="A9" s="43" t="s">
        <v>40</v>
      </c>
      <c r="B9" s="9" t="str" cm="1">
        <f t="array" ref="B9">Code128Barcode(B10)</f>
        <v>Ì05_2025EÎ</v>
      </c>
      <c r="C9" s="45" t="s">
        <v>41</v>
      </c>
      <c r="D9" s="10" t="str" cm="1">
        <f t="array" ref="D9">Code128Barcode(D10)</f>
        <v>Ì2000\Î</v>
      </c>
      <c r="E9" s="43" t="s">
        <v>42</v>
      </c>
      <c r="F9" s="10" t="str" cm="1">
        <f t="array" ref="F9">Code128Barcode(F10)</f>
        <v>Ì56Î</v>
      </c>
    </row>
    <row r="10" spans="1:15" ht="18.75" customHeight="1" thickBot="1">
      <c r="A10" s="44"/>
      <c r="B10" s="6" t="s">
        <v>101</v>
      </c>
      <c r="C10" s="46"/>
      <c r="D10" s="14">
        <v>2000</v>
      </c>
      <c r="E10" s="44"/>
      <c r="F10" s="5">
        <v>5</v>
      </c>
    </row>
    <row r="11" spans="1:15" ht="45" customHeight="1" thickBot="1">
      <c r="A11" s="43" t="s">
        <v>43</v>
      </c>
      <c r="B11" s="9" t="str" cm="1">
        <f t="array" ref="B11">Code128Barcode(B12)</f>
        <v>Ì-.Î</v>
      </c>
      <c r="C11" s="43" t="s">
        <v>44</v>
      </c>
      <c r="D11" s="47" t="s">
        <v>117</v>
      </c>
      <c r="E11" s="45" t="s">
        <v>45</v>
      </c>
      <c r="F11" s="47"/>
    </row>
    <row r="12" spans="1:15" ht="18.75" customHeight="1" thickBot="1">
      <c r="A12" s="44"/>
      <c r="B12" s="5" t="s">
        <v>22</v>
      </c>
      <c r="C12" s="44"/>
      <c r="D12" s="44"/>
      <c r="E12" s="46"/>
      <c r="F12" s="44"/>
    </row>
    <row r="13" spans="1:15" ht="40.5" customHeight="1"/>
    <row r="14" spans="1:15" ht="2.25" customHeight="1" thickBot="1"/>
    <row r="15" spans="1:15" ht="22.5" customHeight="1">
      <c r="A15" s="1"/>
      <c r="B15" s="3"/>
      <c r="C15" s="22" t="s">
        <v>51</v>
      </c>
      <c r="D15" s="23"/>
      <c r="E15" s="23"/>
      <c r="F15" s="24"/>
    </row>
    <row r="16" spans="1:15" ht="22.5" customHeight="1">
      <c r="A16" s="2"/>
      <c r="C16" s="25" t="s">
        <v>52</v>
      </c>
      <c r="D16" s="26"/>
      <c r="E16" s="26"/>
      <c r="F16" s="27"/>
    </row>
    <row r="17" spans="1:7" ht="22.5" customHeight="1">
      <c r="A17" s="25" t="s">
        <v>34</v>
      </c>
      <c r="B17" s="27"/>
      <c r="C17" s="25" t="s">
        <v>53</v>
      </c>
      <c r="D17" s="26"/>
      <c r="E17" s="26"/>
      <c r="F17" s="27"/>
    </row>
    <row r="18" spans="1:7" ht="22.5" customHeight="1" thickBot="1">
      <c r="A18" s="32" t="s">
        <v>36</v>
      </c>
      <c r="B18" s="34"/>
      <c r="C18" s="32" t="s">
        <v>54</v>
      </c>
      <c r="D18" s="33"/>
      <c r="E18" s="33"/>
      <c r="F18" s="34"/>
    </row>
    <row r="19" spans="1:7" ht="61.5" customHeight="1" thickBot="1">
      <c r="A19" s="35" t="s">
        <v>38</v>
      </c>
      <c r="B19" s="37" t="str" cm="1">
        <f t="array" ref="B19">Code128Barcode(B20)</f>
        <v>ÌFIXATION CONNECTEURS  DEFROSTGÎ</v>
      </c>
      <c r="C19" s="38"/>
      <c r="D19" s="38"/>
      <c r="E19" s="38"/>
      <c r="F19" s="39"/>
    </row>
    <row r="20" spans="1:7" ht="25.5" customHeight="1" thickBot="1">
      <c r="A20" s="36"/>
      <c r="B20" s="19" t="s">
        <v>95</v>
      </c>
      <c r="C20" s="20"/>
      <c r="D20" s="20"/>
      <c r="E20" s="20"/>
      <c r="F20" s="21"/>
    </row>
    <row r="21" spans="1:7" ht="60.75" customHeight="1" thickBot="1">
      <c r="A21" s="35" t="s">
        <v>39</v>
      </c>
      <c r="B21" s="37" t="str" cm="1">
        <f t="array" ref="B21">Code128Barcode(B22)</f>
        <v>ÌYX3033xÎ</v>
      </c>
      <c r="C21" s="38"/>
      <c r="D21" s="38"/>
      <c r="E21" s="38"/>
      <c r="F21" s="39"/>
      <c r="G21" s="11"/>
    </row>
    <row r="22" spans="1:7" ht="24.75" customHeight="1" thickBot="1">
      <c r="A22" s="36"/>
      <c r="B22" s="40" t="s">
        <v>96</v>
      </c>
      <c r="C22" s="41"/>
      <c r="D22" s="41"/>
      <c r="E22" s="41"/>
      <c r="F22" s="42"/>
    </row>
    <row r="23" spans="1:7" ht="45" customHeight="1" thickBot="1">
      <c r="A23" s="43" t="s">
        <v>40</v>
      </c>
      <c r="B23" s="9" t="str" cm="1">
        <f t="array" ref="B23">Code128Barcode(B24)</f>
        <v>Ì05_2025EÎ</v>
      </c>
      <c r="C23" s="45" t="s">
        <v>41</v>
      </c>
      <c r="D23" s="10" t="str" cm="1">
        <f t="array" ref="D23">Code128Barcode(D24)</f>
        <v>Ì2000\Î</v>
      </c>
      <c r="E23" s="43" t="s">
        <v>42</v>
      </c>
      <c r="F23" s="10" t="str" cm="1">
        <f t="array" ref="F23">Code128Barcode(F24)</f>
        <v>Ì56Î</v>
      </c>
    </row>
    <row r="24" spans="1:7" ht="18.75" customHeight="1" thickBot="1">
      <c r="A24" s="44"/>
      <c r="B24" s="6" t="s">
        <v>101</v>
      </c>
      <c r="C24" s="46"/>
      <c r="D24" s="14">
        <v>2000</v>
      </c>
      <c r="E24" s="44"/>
      <c r="F24" s="16">
        <v>5</v>
      </c>
    </row>
    <row r="25" spans="1:7" ht="45" customHeight="1" thickBot="1">
      <c r="A25" s="43" t="s">
        <v>43</v>
      </c>
      <c r="B25" s="9" t="str" cm="1">
        <f t="array" ref="B25">Code128Barcode(B26)</f>
        <v>Ì-.Î</v>
      </c>
      <c r="C25" s="43" t="s">
        <v>44</v>
      </c>
      <c r="D25" s="47" t="s">
        <v>117</v>
      </c>
      <c r="E25" s="45" t="s">
        <v>45</v>
      </c>
      <c r="F25" s="47"/>
    </row>
    <row r="26" spans="1:7" ht="18.75" customHeight="1" thickBot="1">
      <c r="A26" s="44"/>
      <c r="B26" s="5" t="s">
        <v>22</v>
      </c>
      <c r="C26" s="44"/>
      <c r="D26" s="44"/>
      <c r="E26" s="46"/>
      <c r="F26" s="44"/>
    </row>
  </sheetData>
  <mergeCells count="40">
    <mergeCell ref="F25:F26"/>
    <mergeCell ref="A23:A24"/>
    <mergeCell ref="C23:C24"/>
    <mergeCell ref="E23:E24"/>
    <mergeCell ref="A25:A26"/>
    <mergeCell ref="C25:C26"/>
    <mergeCell ref="D25:D26"/>
    <mergeCell ref="E25:E26"/>
    <mergeCell ref="A19:A20"/>
    <mergeCell ref="B19:F19"/>
    <mergeCell ref="B20:F20"/>
    <mergeCell ref="A21:A22"/>
    <mergeCell ref="B21:F21"/>
    <mergeCell ref="B22:F22"/>
    <mergeCell ref="A18:B18"/>
    <mergeCell ref="C18:F18"/>
    <mergeCell ref="A9:A10"/>
    <mergeCell ref="C9:C10"/>
    <mergeCell ref="E9:E10"/>
    <mergeCell ref="A11:A12"/>
    <mergeCell ref="C11:C12"/>
    <mergeCell ref="D11:D12"/>
    <mergeCell ref="E11:E12"/>
    <mergeCell ref="F11:F12"/>
    <mergeCell ref="C15:F15"/>
    <mergeCell ref="C16:F16"/>
    <mergeCell ref="A17:B17"/>
    <mergeCell ref="C17:F17"/>
    <mergeCell ref="A5:A6"/>
    <mergeCell ref="B5:F5"/>
    <mergeCell ref="B6:F6"/>
    <mergeCell ref="A7:A8"/>
    <mergeCell ref="B7:F7"/>
    <mergeCell ref="B8:F8"/>
    <mergeCell ref="C1:F1"/>
    <mergeCell ref="C2:F2"/>
    <mergeCell ref="A3:B3"/>
    <mergeCell ref="C3:F3"/>
    <mergeCell ref="A4:B4"/>
    <mergeCell ref="C4:F4"/>
  </mergeCells>
  <pageMargins left="0.45" right="0.2" top="0.25" bottom="0.25" header="0.3" footer="0.3"/>
  <pageSetup paperSize="9" scale="98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4dfd3b-5d40-499c-85a7-16f69d147326">
      <Terms xmlns="http://schemas.microsoft.com/office/infopath/2007/PartnerControls"/>
    </lcf76f155ced4ddcb4097134ff3c332f>
    <TaxCatchAll xmlns="5f047a7f-1bb2-416c-8d14-73b2dadf01e5" xsi:nil="true"/>
    <_Flow_SignoffStatus xmlns="214dfd3b-5d40-499c-85a7-16f69d14732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B4D6E2BE4CD0C4D9672106635E569E4" ma:contentTypeVersion="15" ma:contentTypeDescription="Creare un nuovo documento." ma:contentTypeScope="" ma:versionID="3b939eb0c2dfcdbc0bdd9410dd153ab7">
  <xsd:schema xmlns:xsd="http://www.w3.org/2001/XMLSchema" xmlns:xs="http://www.w3.org/2001/XMLSchema" xmlns:p="http://schemas.microsoft.com/office/2006/metadata/properties" xmlns:ns2="214dfd3b-5d40-499c-85a7-16f69d147326" xmlns:ns3="5f047a7f-1bb2-416c-8d14-73b2dadf01e5" targetNamespace="http://schemas.microsoft.com/office/2006/metadata/properties" ma:root="true" ma:fieldsID="84f5e5188d909826e88892e18248198b" ns2:_="" ns3:_="">
    <xsd:import namespace="214dfd3b-5d40-499c-85a7-16f69d147326"/>
    <xsd:import namespace="5f047a7f-1bb2-416c-8d14-73b2dadf01e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4dfd3b-5d40-499c-85a7-16f69d1473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Tag immagine" ma:readOnly="false" ma:fieldId="{5cf76f15-5ced-4ddc-b409-7134ff3c332f}" ma:taxonomyMulti="true" ma:sspId="450002a6-63af-4c58-be8b-448d05f115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tato consenso" ma:internalName="Stato_x0020_consenso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047a7f-1bb2-416c-8d14-73b2dadf01e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73fa926-5fc6-495c-994a-74298d4c65d5}" ma:internalName="TaxCatchAll" ma:showField="CatchAllData" ma:web="5f047a7f-1bb2-416c-8d14-73b2dadf01e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E9F2AB2-5927-4D53-8585-EA140A9D29F0}">
  <ds:schemaRefs>
    <ds:schemaRef ds:uri="http://schemas.microsoft.com/office/2006/metadata/properties"/>
    <ds:schemaRef ds:uri="http://schemas.microsoft.com/office/infopath/2007/PartnerControls"/>
    <ds:schemaRef ds:uri="214dfd3b-5d40-499c-85a7-16f69d147326"/>
    <ds:schemaRef ds:uri="5f047a7f-1bb2-416c-8d14-73b2dadf01e5"/>
  </ds:schemaRefs>
</ds:datastoreItem>
</file>

<file path=customXml/itemProps2.xml><?xml version="1.0" encoding="utf-8"?>
<ds:datastoreItem xmlns:ds="http://schemas.openxmlformats.org/officeDocument/2006/customXml" ds:itemID="{1830AFCC-0264-45FA-B7C3-064E2888A3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4dfd3b-5d40-499c-85a7-16f69d147326"/>
    <ds:schemaRef ds:uri="5f047a7f-1bb2-416c-8d14-73b2dadf01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8392247-9722-4085-B330-BB912102771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121</vt:i4>
      </vt:variant>
    </vt:vector>
  </HeadingPairs>
  <TitlesOfParts>
    <vt:vector size="145" baseType="lpstr">
      <vt:lpstr>NUT PO 512</vt:lpstr>
      <vt:lpstr>VOLVO FH 2018</vt:lpstr>
      <vt:lpstr>CLIP BLU</vt:lpstr>
      <vt:lpstr>FRONT INSERT</vt:lpstr>
      <vt:lpstr>REAR INSERT</vt:lpstr>
      <vt:lpstr>PIN TOYOTA LH</vt:lpstr>
      <vt:lpstr>PIN TOYOTA RX</vt:lpstr>
      <vt:lpstr>AH-020</vt:lpstr>
      <vt:lpstr>NUT PO512 V2</vt:lpstr>
      <vt:lpstr>CLIP BIANCO</vt:lpstr>
      <vt:lpstr>Data Assistance</vt:lpstr>
      <vt:lpstr>Foglio1</vt:lpstr>
      <vt:lpstr>Stampa</vt:lpstr>
      <vt:lpstr>Start</vt:lpstr>
      <vt:lpstr>Foglio2</vt:lpstr>
      <vt:lpstr>X290 RH </vt:lpstr>
      <vt:lpstr>X290 LH</vt:lpstr>
      <vt:lpstr>Treno 2</vt:lpstr>
      <vt:lpstr>tRENO</vt:lpstr>
      <vt:lpstr>VOLVO</vt:lpstr>
      <vt:lpstr>RENEGADE</vt:lpstr>
      <vt:lpstr>Loom</vt:lpstr>
      <vt:lpstr>Pezzo L</vt:lpstr>
      <vt:lpstr>fixation</vt:lpstr>
      <vt:lpstr>Stampa!Area.stampa</vt:lpstr>
      <vt:lpstr>'AH-020'!Area_stampa</vt:lpstr>
      <vt:lpstr>'CLIP BIANCO'!Area_stampa</vt:lpstr>
      <vt:lpstr>'CLIP BLU'!Area_stampa</vt:lpstr>
      <vt:lpstr>fixation!Area_stampa</vt:lpstr>
      <vt:lpstr>'FRONT INSERT'!Area_stampa</vt:lpstr>
      <vt:lpstr>Loom!Area_stampa</vt:lpstr>
      <vt:lpstr>'NUT PO 512'!Area_stampa</vt:lpstr>
      <vt:lpstr>'NUT PO512 V2'!Area_stampa</vt:lpstr>
      <vt:lpstr>'Pezzo L'!Area_stampa</vt:lpstr>
      <vt:lpstr>'PIN TOYOTA LH'!Area_stampa</vt:lpstr>
      <vt:lpstr>'PIN TOYOTA RX'!Area_stampa</vt:lpstr>
      <vt:lpstr>'REAR INSERT'!Area_stampa</vt:lpstr>
      <vt:lpstr>RENEGADE!Area_stampa</vt:lpstr>
      <vt:lpstr>Stampa!Area_stampa</vt:lpstr>
      <vt:lpstr>tRENO!Area_stampa</vt:lpstr>
      <vt:lpstr>'Treno 2'!Area_stampa</vt:lpstr>
      <vt:lpstr>VOLVO!Area_stampa</vt:lpstr>
      <vt:lpstr>'VOLVO FH 2018'!Area_stampa</vt:lpstr>
      <vt:lpstr>'X290 LH'!Area_stampa</vt:lpstr>
      <vt:lpstr>'X290 RH '!Area_stampa</vt:lpstr>
      <vt:lpstr>'AH-020'!Area_Stampa2</vt:lpstr>
      <vt:lpstr>'CLIP BIANCO'!Area_Stampa2</vt:lpstr>
      <vt:lpstr>'CLIP BLU'!Area_Stampa2</vt:lpstr>
      <vt:lpstr>fixation!Area_Stampa2</vt:lpstr>
      <vt:lpstr>'FRONT INSERT'!Area_Stampa2</vt:lpstr>
      <vt:lpstr>Loom!Area_Stampa2</vt:lpstr>
      <vt:lpstr>'NUT PO 512'!Area_Stampa2</vt:lpstr>
      <vt:lpstr>'NUT PO512 V2'!Area_Stampa2</vt:lpstr>
      <vt:lpstr>'Pezzo L'!Area_Stampa2</vt:lpstr>
      <vt:lpstr>'PIN TOYOTA LH'!Area_Stampa2</vt:lpstr>
      <vt:lpstr>'PIN TOYOTA RX'!Area_Stampa2</vt:lpstr>
      <vt:lpstr>'REAR INSERT'!Area_Stampa2</vt:lpstr>
      <vt:lpstr>RENEGADE!Area_Stampa2</vt:lpstr>
      <vt:lpstr>Stampa!Area_Stampa2</vt:lpstr>
      <vt:lpstr>tRENO!Area_Stampa2</vt:lpstr>
      <vt:lpstr>'Treno 2'!Area_Stampa2</vt:lpstr>
      <vt:lpstr>VOLVO!Area_Stampa2</vt:lpstr>
      <vt:lpstr>'VOLVO FH 2018'!Area_Stampa2</vt:lpstr>
      <vt:lpstr>'X290 LH'!Area_Stampa2</vt:lpstr>
      <vt:lpstr>'X290 RH '!Area_Stampa2</vt:lpstr>
      <vt:lpstr>'AH-020'!Area_Stampa3</vt:lpstr>
      <vt:lpstr>'CLIP BIANCO'!Area_Stampa3</vt:lpstr>
      <vt:lpstr>'CLIP BLU'!Area_Stampa3</vt:lpstr>
      <vt:lpstr>fixation!Area_Stampa3</vt:lpstr>
      <vt:lpstr>'FRONT INSERT'!Area_Stampa3</vt:lpstr>
      <vt:lpstr>Loom!Area_Stampa3</vt:lpstr>
      <vt:lpstr>'NUT PO 512'!Area_Stampa3</vt:lpstr>
      <vt:lpstr>'NUT PO512 V2'!Area_Stampa3</vt:lpstr>
      <vt:lpstr>'Pezzo L'!Area_Stampa3</vt:lpstr>
      <vt:lpstr>'PIN TOYOTA LH'!Area_Stampa3</vt:lpstr>
      <vt:lpstr>'PIN TOYOTA RX'!Area_Stampa3</vt:lpstr>
      <vt:lpstr>'REAR INSERT'!Area_Stampa3</vt:lpstr>
      <vt:lpstr>RENEGADE!Area_Stampa3</vt:lpstr>
      <vt:lpstr>Stampa!Area_Stampa3</vt:lpstr>
      <vt:lpstr>tRENO!Area_Stampa3</vt:lpstr>
      <vt:lpstr>'Treno 2'!Area_Stampa3</vt:lpstr>
      <vt:lpstr>VOLVO!Area_Stampa3</vt:lpstr>
      <vt:lpstr>'VOLVO FH 2018'!Area_Stampa3</vt:lpstr>
      <vt:lpstr>'X290 LH'!Area_Stampa3</vt:lpstr>
      <vt:lpstr>'X290 RH '!Area_Stampa3</vt:lpstr>
      <vt:lpstr>'AH-020'!Area_stampa4</vt:lpstr>
      <vt:lpstr>'CLIP BIANCO'!Area_stampa4</vt:lpstr>
      <vt:lpstr>'CLIP BLU'!Area_stampa4</vt:lpstr>
      <vt:lpstr>fixation!Area_stampa4</vt:lpstr>
      <vt:lpstr>'FRONT INSERT'!Area_stampa4</vt:lpstr>
      <vt:lpstr>Loom!Area_stampa4</vt:lpstr>
      <vt:lpstr>'NUT PO 512'!Area_stampa4</vt:lpstr>
      <vt:lpstr>'NUT PO512 V2'!Area_stampa4</vt:lpstr>
      <vt:lpstr>'Pezzo L'!Area_stampa4</vt:lpstr>
      <vt:lpstr>'PIN TOYOTA LH'!Area_stampa4</vt:lpstr>
      <vt:lpstr>'PIN TOYOTA RX'!Area_stampa4</vt:lpstr>
      <vt:lpstr>'REAR INSERT'!Area_stampa4</vt:lpstr>
      <vt:lpstr>RENEGADE!Area_stampa4</vt:lpstr>
      <vt:lpstr>Stampa!Area_stampa4</vt:lpstr>
      <vt:lpstr>tRENO!Area_stampa4</vt:lpstr>
      <vt:lpstr>'Treno 2'!Area_stampa4</vt:lpstr>
      <vt:lpstr>VOLVO!Area_stampa4</vt:lpstr>
      <vt:lpstr>'VOLVO FH 2018'!Area_stampa4</vt:lpstr>
      <vt:lpstr>'X290 LH'!Area_stampa4</vt:lpstr>
      <vt:lpstr>'X290 RH '!Area_stampa4</vt:lpstr>
      <vt:lpstr>'AH-020'!ARES_STAMPA</vt:lpstr>
      <vt:lpstr>'CLIP BIANCO'!ARES_STAMPA</vt:lpstr>
      <vt:lpstr>'CLIP BLU'!ARES_STAMPA</vt:lpstr>
      <vt:lpstr>fixation!ARES_STAMPA</vt:lpstr>
      <vt:lpstr>'FRONT INSERT'!ARES_STAMPA</vt:lpstr>
      <vt:lpstr>Loom!ARES_STAMPA</vt:lpstr>
      <vt:lpstr>'NUT PO 512'!ARES_STAMPA</vt:lpstr>
      <vt:lpstr>'NUT PO512 V2'!ARES_STAMPA</vt:lpstr>
      <vt:lpstr>'Pezzo L'!ARES_STAMPA</vt:lpstr>
      <vt:lpstr>'PIN TOYOTA LH'!ARES_STAMPA</vt:lpstr>
      <vt:lpstr>'PIN TOYOTA RX'!ARES_STAMPA</vt:lpstr>
      <vt:lpstr>'REAR INSERT'!ARES_STAMPA</vt:lpstr>
      <vt:lpstr>RENEGADE!ARES_STAMPA</vt:lpstr>
      <vt:lpstr>Stampa!ARES_STAMPA</vt:lpstr>
      <vt:lpstr>tRENO!ARES_STAMPA</vt:lpstr>
      <vt:lpstr>'Treno 2'!ARES_STAMPA</vt:lpstr>
      <vt:lpstr>VOLVO!ARES_STAMPA</vt:lpstr>
      <vt:lpstr>'VOLVO FH 2018'!ARES_STAMPA</vt:lpstr>
      <vt:lpstr>'X290 LH'!ARES_STAMPA</vt:lpstr>
      <vt:lpstr>'X290 RH '!ARES_STAMPA</vt:lpstr>
      <vt:lpstr>'AH-020'!paa</vt:lpstr>
      <vt:lpstr>'CLIP BIANCO'!paa</vt:lpstr>
      <vt:lpstr>'CLIP BLU'!paa</vt:lpstr>
      <vt:lpstr>fixation!paa</vt:lpstr>
      <vt:lpstr>'FRONT INSERT'!paa</vt:lpstr>
      <vt:lpstr>Loom!paa</vt:lpstr>
      <vt:lpstr>'NUT PO 512'!paa</vt:lpstr>
      <vt:lpstr>'NUT PO512 V2'!paa</vt:lpstr>
      <vt:lpstr>'Pezzo L'!paa</vt:lpstr>
      <vt:lpstr>'PIN TOYOTA LH'!paa</vt:lpstr>
      <vt:lpstr>'PIN TOYOTA RX'!paa</vt:lpstr>
      <vt:lpstr>'REAR INSERT'!paa</vt:lpstr>
      <vt:lpstr>RENEGADE!paa</vt:lpstr>
      <vt:lpstr>Stampa!paa</vt:lpstr>
      <vt:lpstr>tRENO!paa</vt:lpstr>
      <vt:lpstr>'Treno 2'!paa</vt:lpstr>
      <vt:lpstr>VOLVO!paa</vt:lpstr>
      <vt:lpstr>'VOLVO FH 2018'!paa</vt:lpstr>
      <vt:lpstr>'X290 LH'!paa</vt:lpstr>
      <vt:lpstr>'X290 RH '!paa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Logistica MPS</dc:creator>
  <cp:keywords/>
  <dc:description/>
  <cp:lastModifiedBy>Luigi Raddi</cp:lastModifiedBy>
  <cp:revision/>
  <cp:lastPrinted>2025-06-27T12:13:02Z</cp:lastPrinted>
  <dcterms:created xsi:type="dcterms:W3CDTF">2015-06-05T18:17:20Z</dcterms:created>
  <dcterms:modified xsi:type="dcterms:W3CDTF">2025-06-27T12:13:53Z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0x010100DB4D6E2BE4CD0C4D9672106635E569E4</vt:lpwstr>
  </property>
</Properties>
</file>